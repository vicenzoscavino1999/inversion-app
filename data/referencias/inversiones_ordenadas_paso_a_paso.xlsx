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5120a50a7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o_a_paso" sheetId="1" r:id="R86aa6f6d6c0a47a4"/>
    <x:sheet xmlns:r="http://schemas.openxmlformats.org/officeDocument/2006/relationships" name="Resumen" sheetId="2" r:id="R8f4b7a81d400411d"/>
    <x:sheet xmlns:r="http://schemas.openxmlformats.org/officeDocument/2006/relationships" name="Origen_capital" sheetId="3" r:id="R9dae228d12774ef2"/>
    <x:sheet xmlns:r="http://schemas.openxmlformats.org/officeDocument/2006/relationships" name="Cambio_1" sheetId="4" r:id="R114b15cb3f6b4e1b"/>
    <x:sheet xmlns:r="http://schemas.openxmlformats.org/officeDocument/2006/relationships" name="Devolucion_y_2da" sheetId="5" r:id="R2d94de66f7c24849"/>
    <x:sheet xmlns:r="http://schemas.openxmlformats.org/officeDocument/2006/relationships" name="MDF_y_venta" sheetId="6" r:id="Rbd767b909d404667"/>
    <x:sheet xmlns:r="http://schemas.openxmlformats.org/officeDocument/2006/relationships" name="Datos_base" sheetId="7" r:id="Rb4038e5220b248f3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13" authorId="0">
      <x:text>
        <x:r>
          <x:t>Monto que sí se destinó a la primera compra de dólares.</x:t>
        </x:r>
      </x:text>
    </x:comment>
    <x:comment ref="B14" authorId="0">
      <x:text>
        <x:r>
          <x:t>Tipo de cambio de compra usado para la primera vuelta.</x:t>
        </x:r>
      </x:text>
    </x:comment>
    <x:comment ref="B15" authorId="0">
      <x:text>
        <x:r>
          <x:t>Tipo de cambio usado para vender la primera vuelta y para recomprar USD.</x:t>
        </x:r>
      </x:text>
    </x:comment>
    <x:comment ref="B17" authorId="0">
      <x:text>
        <x:r>
          <x:t>Este valor viene del apunte manual y se conserva como referencia.</x:t>
        </x:r>
      </x:text>
    </x:comment>
    <x:comment ref="B19" authorId="0">
      <x:text>
        <x:r>
          <x:t>Este valor viene del apunte manual y se conserva como referencia.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&quot;S/&quot; #,##0.00;[Red](&quot;S/&quot; #,##0.00);-"/>
    <x:numFmt numFmtId="165" formatCode="&quot;US$&quot; #,##0.00;[Red](&quot;US$&quot; #,##0.00);-"/>
  </x:numFmts>
  <x:fonts count="9">
    <x:font>
      <x:sz val="11"/>
      <x:color theme="1"/>
      <x:name val="Calibri"/>
      <x:family val="2"/>
      <x:scheme val="minor"/>
    </x:font>
    <x:font>
      <x:b/>
      <x:sz val="14"/>
    </x:font>
    <x:font>
      <x:b/>
    </x:font>
    <x:font>
      <x:color rgb="000000FF"/>
    </x:font>
    <x:font>
      <x:color rgb="00000000"/>
    </x:font>
    <x:font>
      <x:i/>
      <x:sz val="10"/>
      <x:color rgb="00666666"/>
    </x:font>
    <x:font>
      <x:b/>
      <x:color rgb="00FFFFFF"/>
    </x:font>
    <x:font>
      <x:color rgb="00C65911"/>
    </x:font>
    <x:font>
      <x:color rgb="007F7F7F"/>
    </x:font>
  </x:fonts>
  <x:fills count="6">
    <x:fill>
      <x:patternFill patternType="none"/>
    </x:fill>
    <x:fill>
      <x:patternFill patternType="gray125"/>
    </x:fill>
    <x:fill>
      <x:patternFill patternType="solid">
        <x:fgColor rgb="00D9EAF7"/>
      </x:patternFill>
    </x:fill>
    <x:fill>
      <x:patternFill patternType="solid">
        <x:fgColor rgb="00D9E1F2"/>
      </x:patternFill>
    </x:fill>
    <x:fill>
      <x:patternFill patternType="solid">
        <x:fgColor rgb="00E2F0D9"/>
      </x:patternFill>
    </x:fill>
    <x:fill>
      <x:patternFill patternType="solid">
        <x:fgColor rgb="001F4E78"/>
      </x:patternFill>
    </x:fill>
  </x:fills>
  <x:borders count="5">
    <x:border>
      <x:left/>
      <x:right/>
      <x:top/>
      <x:bottom/>
      <x:diagonal/>
    </x:border>
    <x:border>
      <x:top style="medium">
        <x:color rgb="001F1F1F"/>
      </x:top>
    </x:border>
    <x:border>
      <x:bottom style="thin">
        <x:color rgb="00BFBFBF"/>
      </x:bottom>
    </x:border>
    <x:border>
      <x:left/>
      <x:right/>
      <x:top/>
      <x:bottom style="thin">
        <x:color rgb="00BFBFBF"/>
      </x:bottom>
      <x:diagonal/>
    </x:border>
    <x:border>
      <x:right/>
      <x:bottom style="thin">
        <x:color rgb="00BFBFBF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5" fillId="0" borderId="0" xfId="0" applyAlignment="1">
      <x:alignment vertical="center" wrapText="1"/>
    </x:xf>
    <x:xf numFmtId="0" fontId="6" fillId="5" borderId="2" xfId="0" applyAlignment="1">
      <x:alignment vertical="center" wrapText="1"/>
    </x:xf>
    <x:xf numFmtId="0" fontId="2" fillId="2" borderId="2" xfId="0" applyAlignment="1">
      <x:alignment vertical="center" wrapText="1"/>
    </x:xf>
    <x:xf numFmtId="0" fontId="0" fillId="0" borderId="2" xfId="0" applyAlignment="1">
      <x:alignment vertical="center" wrapText="1"/>
    </x:xf>
    <x:xf numFmtId="164" fontId="3" fillId="0" borderId="2" xfId="0" applyAlignment="1">
      <x:alignment vertical="center" wrapText="1"/>
    </x:xf>
    <x:xf numFmtId="0" fontId="3" fillId="0" borderId="2" xfId="0" applyAlignment="1">
      <x:alignment vertical="center" wrapText="1"/>
    </x:xf>
    <x:xf numFmtId="0" fontId="0" fillId="4" borderId="2" xfId="0" applyAlignment="1">
      <x:alignment vertical="center" wrapText="1"/>
    </x:xf>
    <x:xf numFmtId="164" fontId="4" fillId="4" borderId="2" xfId="0" applyAlignment="1">
      <x:alignment vertical="center" wrapText="1"/>
    </x:xf>
    <x:xf numFmtId="0" fontId="4" fillId="4" borderId="2" xfId="0" applyAlignment="1">
      <x:alignment vertical="center" wrapText="1"/>
    </x:xf>
    <x:xf numFmtId="164" fontId="4" fillId="0" borderId="2" xfId="0" applyAlignment="1">
      <x:alignment vertical="center" wrapText="1"/>
    </x:xf>
    <x:xf numFmtId="0" fontId="4" fillId="0" borderId="2" xfId="0" applyAlignment="1">
      <x:alignment vertical="center" wrapText="1"/>
    </x:xf>
    <x:xf numFmtId="2" fontId="3" fillId="0" borderId="2" xfId="0" applyAlignment="1">
      <x:alignment vertical="center" wrapText="1"/>
    </x:xf>
    <x:xf numFmtId="165" fontId="4" fillId="0" borderId="2" xfId="0" applyAlignment="1">
      <x:alignment vertical="center" wrapText="1"/>
    </x:xf>
    <x:xf numFmtId="165" fontId="7" fillId="0" borderId="2" xfId="0" applyAlignment="1">
      <x:alignment vertical="center" wrapText="1"/>
    </x:xf>
    <x:xf numFmtId="0" fontId="7" fillId="0" borderId="2" xfId="0" applyAlignment="1">
      <x:alignment vertical="center" wrapText="1"/>
    </x:xf>
    <x:xf numFmtId="165" fontId="8" fillId="0" borderId="2" xfId="0" applyAlignment="1">
      <x:alignment vertical="center" wrapText="1"/>
    </x:xf>
    <x:xf numFmtId="0" fontId="8" fillId="0" borderId="2" xfId="0" applyAlignment="1">
      <x:alignment vertical="center" wrapText="1"/>
    </x:xf>
    <x:xf numFmtId="165" fontId="3" fillId="0" borderId="2" xfId="0" applyAlignment="1">
      <x:alignment vertical="center" wrapText="1"/>
    </x:xf>
    <x:xf numFmtId="164" fontId="7" fillId="0" borderId="2" xfId="0" applyAlignment="1">
      <x:alignment vertical="center" wrapText="1"/>
    </x:xf>
    <x:xf numFmtId="164" fontId="7" fillId="4" borderId="2" xfId="0" applyAlignment="1">
      <x:alignment vertical="center" wrapText="1"/>
    </x:xf>
    <x:xf numFmtId="0" fontId="7" fillId="4" borderId="2" xfId="0" applyAlignment="1">
      <x:alignment vertical="center" wrapText="1"/>
    </x:xf>
    <x:xf numFmtId="3" fontId="3" fillId="0" borderId="2" xfId="0" applyAlignment="1">
      <x:alignment vertical="center" wrapText="1"/>
    </x:xf>
    <x:xf numFmtId="165" fontId="4" fillId="4" borderId="2" xfId="0" applyAlignment="1">
      <x:alignment vertical="center" wrapText="1"/>
    </x:xf>
    <x:xf numFmtId="0" fontId="6" fillId="5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165" fontId="0" fillId="0" borderId="0" xfId="0" applyAlignment="1">
      <x:alignment vertical="center" wrapText="1"/>
    </x:xf>
    <x:xf numFmtId="0" fontId="2" fillId="2" borderId="0" xfId="0" applyAlignment="1">
      <x:alignment vertical="center" wrapText="1"/>
    </x:xf>
    <x:xf numFmtId="3" fontId="0" fillId="0" borderId="0" xfId="0" applyAlignment="1">
      <x:alignment vertical="center" wrapText="1"/>
    </x:xf>
    <x:xf numFmtId="0" fontId="2" fillId="4" borderId="0" xfId="0" applyAlignment="1">
      <x:alignment vertical="center" wrapText="1"/>
    </x:xf>
    <x:xf numFmtId="0" fontId="0" fillId="4" borderId="0" xfId="0" applyAlignment="1">
      <x:alignment vertical="center" wrapText="1"/>
    </x:xf>
    <x:xf numFmtId="164" fontId="4" fillId="4" borderId="0" xfId="0" applyAlignment="1">
      <x:alignment vertical="center" wrapText="1"/>
    </x:xf>
    <x:xf numFmtId="0" fontId="1" fillId="2" borderId="0" xfId="0" applyAlignment="1">
      <x:alignment vertical="center" wrapText="1"/>
    </x:xf>
    <x:xf numFmtId="0" fontId="2" fillId="3" borderId="0" xfId="0" applyAlignment="1">
      <x:alignment vertical="center" wrapText="1"/>
    </x:xf>
    <x:xf numFmtId="164" fontId="3" fillId="0" borderId="0" xfId="0" applyAlignment="1">
      <x:alignment vertical="center" wrapText="1"/>
    </x:xf>
    <x:xf numFmtId="3" fontId="3" fillId="0" borderId="0" xfId="0" applyAlignment="1">
      <x:alignment vertical="center" wrapText="1"/>
    </x:xf>
    <x:xf numFmtId="165" fontId="3" fillId="0" borderId="0" xfId="0" applyAlignment="1">
      <x:alignment vertical="center" wrapText="1"/>
    </x:xf>
    <x:xf numFmtId="164" fontId="4" fillId="0" borderId="0" xfId="0" applyAlignment="1">
      <x:alignment vertical="center" wrapText="1"/>
    </x:xf>
    <x:xf numFmtId="165" fontId="4" fillId="0" borderId="0" xfId="0" applyAlignment="1">
      <x:alignment vertical="center" wrapText="1"/>
    </x:xf>
    <x:xf numFmtId="0" fontId="0" fillId="0" borderId="3" xfId="0"/>
    <x:xf numFmtId="0" fontId="2" fillId="2" borderId="4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e263b7a1a4146" /><Relationship Type="http://schemas.openxmlformats.org/officeDocument/2006/relationships/theme" Target="/xl/theme/theme1.xml" Id="R92d0f929fdcb4979" /><Relationship Type="http://schemas.openxmlformats.org/officeDocument/2006/relationships/sharedStrings" Target="/xl/sharedStrings.xml" Id="R9cb6d1e97a4344d2" /><Relationship Type="http://schemas.openxmlformats.org/officeDocument/2006/relationships/worksheet" Target="/xl/worksheets/sheet1.xml" Id="R86aa6f6d6c0a47a4" /><Relationship Type="http://schemas.openxmlformats.org/officeDocument/2006/relationships/worksheet" Target="/xl/worksheets/sheet2.xml" Id="R8f4b7a81d400411d" /><Relationship Type="http://schemas.openxmlformats.org/officeDocument/2006/relationships/worksheet" Target="/xl/worksheets/sheet3.xml" Id="R9dae228d12774ef2" /><Relationship Type="http://schemas.openxmlformats.org/officeDocument/2006/relationships/worksheet" Target="/xl/worksheets/sheet4.xml" Id="R114b15cb3f6b4e1b" /><Relationship Type="http://schemas.openxmlformats.org/officeDocument/2006/relationships/worksheet" Target="/xl/worksheets/sheet5.xml" Id="R2d94de66f7c24849" /><Relationship Type="http://schemas.openxmlformats.org/officeDocument/2006/relationships/worksheet" Target="/xl/worksheets/sheet6.xml" Id="Rbd767b909d404667" /><Relationship Type="http://schemas.openxmlformats.org/officeDocument/2006/relationships/worksheet" Target="/xl/worksheets/sheet7.xml" Id="Rb4038e5220b248f3" /><Relationship Type="http://schemas.microsoft.com/office/2017/10/relationships/person" Target="/xl/persons/person.xml" Id="Rdbfc05a803a241eb" /></Relationships>
</file>

<file path=xl/persons/person.xml><?xml version="1.0" encoding="utf-8"?>
<xltc:personList xmlns:xltc="http://schemas.microsoft.com/office/spreadsheetml/2018/threadedcomments">
  <xltc:person displayName="OpenAI" id="{34EF3E9F-A90E-C1B9-DB2C-A55051ECB9DE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1.xml" Id="R78fc77775d734145" /><Relationship Type="http://schemas.openxmlformats.org/officeDocument/2006/relationships/vmlDrawing" Target="/xl/drawings/vmldrawing.vml" Id="Rb13ee00cd79c4e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8" customWidth="1"/>
    <x:col min="3" max="3" width="25" customWidth="1"/>
    <x:col min="4" max="4" width="16" customWidth="1"/>
    <x:col min="5" max="5" width="14" customWidth="1"/>
    <x:col min="6" max="6" width="12" customWidth="1"/>
    <x:col min="7" max="7" width="52" customWidth="1"/>
  </x:cols>
  <x:sheetData>
    <x:row r="1">
      <x:c r="A1" s="1" t="inlineStr">
        <x:is>
          <x:t xml:space="preserve">Flujo paso a paso</x:t>
        </x:is>
      </x:c>
      <x:c r="B1" s="2" t="n"/>
      <x:c r="C1" s="2" t="n"/>
      <x:c r="D1" s="2" t="n"/>
      <x:c r="E1" s="2" t="n"/>
      <x:c r="F1" s="2" t="n"/>
      <x:c r="G1" s="2" t="n"/>
    </x:row>
    <x:row r="2">
      <x:c r="A2" s="3" t="inlineStr">
        <x:is>
          <x:t xml:space="preserve">Esta hoja muestra el orden exacto en que se fue haciendo la operación, separando el dato manual del cálculo exacto.</x:t>
        </x:is>
      </x:c>
      <x:c r="B2" s="2" t="n"/>
      <x:c r="C2" s="2" t="n"/>
      <x:c r="D2" s="2" t="n"/>
      <x:c r="E2" s="2" t="n"/>
      <x:c r="F2" s="2" t="n"/>
      <x:c r="G2" s="2" t="n"/>
    </x:row>
    <x:row r="3">
      <x:c r="A3" s="2" t="n"/>
      <x:c r="B3" s="2" t="n"/>
      <x:c r="C3" s="2" t="n"/>
      <x:c r="D3" s="2" t="n"/>
      <x:c r="E3" s="2" t="n"/>
      <x:c r="F3" s="2" t="n"/>
      <x:c r="G3" s="2" t="n"/>
    </x:row>
    <x:row r="4">
      <x:c r="A4" s="4" t="inlineStr">
        <x:is>
          <x:t xml:space="preserve">Paso</x:t>
        </x:is>
      </x:c>
      <x:c r="B4" s="4" t="inlineStr">
        <x:is>
          <x:t xml:space="preserve">Qué se hace</x:t>
        </x:is>
      </x:c>
      <x:c r="C4" s="4" t="inlineStr">
        <x:is>
          <x:t xml:space="preserve">Cálculo</x:t>
        </x:is>
      </x:c>
      <x:c r="D4" s="4" t="inlineStr">
        <x:is>
          <x:t xml:space="preserve">Resultado</x:t>
        </x:is>
      </x:c>
      <x:c r="E4" s="4" t="inlineStr">
        <x:is>
          <x:t xml:space="preserve">Moneda</x:t>
        </x:is>
      </x:c>
      <x:c r="F4" s="4" t="inlineStr">
        <x:is>
          <x:t xml:space="preserve">Tipo</x:t>
        </x:is>
      </x:c>
      <x:c r="G4" s="4" t="inlineStr">
        <x:is>
          <x:t xml:space="preserve">Lectura simple</x:t>
        </x:is>
      </x:c>
    </x:row>
    <x:row r="5">
      <x:c r="A5" s="42" t="inlineStr">
        <x:is>
          <x:t xml:space="preserve">1. De dónde sale el capital</x:t>
        </x:is>
      </x:c>
      <x:c r="B5" s="41" t="n"/>
      <x:c r="C5" s="41" t="n"/>
      <x:c r="D5" s="41" t="n"/>
      <x:c r="E5" s="41" t="n"/>
      <x:c r="F5" s="41" t="n"/>
      <x:c r="G5" s="41" t="n"/>
    </x:row>
    <x:row r="6">
      <x:c r="A6" s="6" t="inlineStr">
        <x:is>
          <x:t xml:space="preserve">1.1</x:t>
        </x:is>
      </x:c>
      <x:c r="B6" s="6" t="inlineStr">
        <x:is>
          <x:t xml:space="preserve">Capital de Luigi</x:t>
        </x:is>
      </x:c>
      <x:c r="C6" s="6" t="inlineStr">
        <x:is>
          <x:t xml:space="preserve">Dato base</x:t>
        </x:is>
      </x:c>
      <x:c r="D6" s="7">
        <x:f>Datos_base!B5</x:f>
        <x:v>15250</x:v>
      </x:c>
      <x:c r="E6" s="6" t="inlineStr">
        <x:is>
          <x:t xml:space="preserve">Soles</x:t>
        </x:is>
      </x:c>
      <x:c r="F6" s="8" t="inlineStr">
        <x:is>
          <x:t xml:space="preserve">Input</x:t>
        </x:is>
      </x:c>
      <x:c r="G6" s="6" t="inlineStr">
        <x:is>
          <x:t xml:space="preserve">Primera parte del capital</x:t>
        </x:is>
      </x:c>
    </x:row>
    <x:row r="7">
      <x:c r="A7" s="6" t="inlineStr">
        <x:is>
          <x:t xml:space="preserve">1.2</x:t>
        </x:is>
      </x:c>
      <x:c r="B7" s="6" t="inlineStr">
        <x:is>
          <x:t xml:space="preserve">Capital de Isabel</x:t>
        </x:is>
      </x:c>
      <x:c r="C7" s="6" t="inlineStr">
        <x:is>
          <x:t xml:space="preserve">Dato base</x:t>
        </x:is>
      </x:c>
      <x:c r="D7" s="7">
        <x:f>Datos_base!B6</x:f>
        <x:v>20450</x:v>
      </x:c>
      <x:c r="E7" s="6" t="inlineStr">
        <x:is>
          <x:t xml:space="preserve">Soles</x:t>
        </x:is>
      </x:c>
      <x:c r="F7" s="8" t="inlineStr">
        <x:is>
          <x:t xml:space="preserve">Input</x:t>
        </x:is>
      </x:c>
      <x:c r="G7" s="6" t="inlineStr">
        <x:is>
          <x:t xml:space="preserve">Segunda parte del capital</x:t>
        </x:is>
      </x:c>
    </x:row>
    <x:row r="8">
      <x:c r="A8" s="6" t="inlineStr">
        <x:is>
          <x:t xml:space="preserve">1.3</x:t>
        </x:is>
      </x:c>
      <x:c r="B8" s="6" t="inlineStr">
        <x:is>
          <x:t xml:space="preserve">Préstamo Interbank</x:t>
        </x:is>
      </x:c>
      <x:c r="C8" s="6" t="inlineStr">
        <x:is>
          <x:t xml:space="preserve">Dato base</x:t>
        </x:is>
      </x:c>
      <x:c r="D8" s="7">
        <x:f>Datos_base!B7</x:f>
        <x:v>11800</x:v>
      </x:c>
      <x:c r="E8" s="6" t="inlineStr">
        <x:is>
          <x:t xml:space="preserve">Soles</x:t>
        </x:is>
      </x:c>
      <x:c r="F8" s="8" t="inlineStr">
        <x:is>
          <x:t xml:space="preserve">Input</x:t>
        </x:is>
      </x:c>
      <x:c r="G8" s="6" t="inlineStr">
        <x:is>
          <x:t xml:space="preserve">Préstamo bancario</x:t>
        </x:is>
      </x:c>
    </x:row>
    <x:row r="9">
      <x:c r="A9" s="6" t="inlineStr">
        <x:is>
          <x:t xml:space="preserve">1.4</x:t>
        </x:is>
      </x:c>
      <x:c r="B9" s="6" t="inlineStr">
        <x:is>
          <x:t xml:space="preserve">Préstamo Ripley</x:t>
        </x:is>
      </x:c>
      <x:c r="C9" s="6" t="inlineStr">
        <x:is>
          <x:t xml:space="preserve">Dato base</x:t>
        </x:is>
      </x:c>
      <x:c r="D9" s="7">
        <x:f>Datos_base!B10</x:f>
        <x:v>24800</x:v>
      </x:c>
      <x:c r="E9" s="6" t="inlineStr">
        <x:is>
          <x:t xml:space="preserve">Soles</x:t>
        </x:is>
      </x:c>
      <x:c r="F9" s="8" t="inlineStr">
        <x:is>
          <x:t xml:space="preserve">Input</x:t>
        </x:is>
      </x:c>
      <x:c r="G9" s="6" t="inlineStr">
        <x:is>
          <x:t xml:space="preserve">Préstamo retail</x:t>
        </x:is>
      </x:c>
    </x:row>
    <x:row r="10">
      <x:c r="A10" s="9" t="inlineStr">
        <x:is>
          <x:t xml:space="preserve">1.5</x:t>
        </x:is>
      </x:c>
      <x:c r="B10" s="9" t="inlineStr">
        <x:is>
          <x:t xml:space="preserve">Capital total disponible</x:t>
        </x:is>
      </x:c>
      <x:c r="C10" s="9" t="inlineStr">
        <x:is>
          <x:t xml:space="preserve">Suma de Luigi + Isabel + Interbank + Ripley</x:t>
        </x:is>
      </x:c>
      <x:c r="D10" s="10">
        <x:f>SUM(D6:D9)</x:f>
        <x:v>72300</x:v>
      </x:c>
      <x:c r="E10" s="9" t="inlineStr">
        <x:is>
          <x:t xml:space="preserve">Soles</x:t>
        </x:is>
      </x:c>
      <x:c r="F10" s="11" t="inlineStr">
        <x:is>
          <x:t xml:space="preserve">Fórmula</x:t>
        </x:is>
      </x:c>
      <x:c r="G10" s="9" t="inlineStr">
        <x:is>
          <x:t xml:space="preserve">Todo junto da S/ 72,300</x:t>
        </x:is>
      </x:c>
    </x:row>
    <x:row r="11">
      <x:c r="A11" s="42" t="inlineStr">
        <x:is>
          <x:t xml:space="preserve">2. Primera vuelta: comprar dólares y luego venderlos</x:t>
        </x:is>
      </x:c>
      <x:c r="B11" s="41" t="n"/>
      <x:c r="C11" s="41" t="n"/>
      <x:c r="D11" s="41" t="n"/>
      <x:c r="E11" s="41" t="n"/>
      <x:c r="F11" s="41" t="n"/>
      <x:c r="G11" s="41" t="n"/>
    </x:row>
    <x:row r="12">
      <x:c r="A12" s="6" t="inlineStr">
        <x:is>
          <x:t xml:space="preserve">2.1</x:t>
        </x:is>
      </x:c>
      <x:c r="B12" s="6" t="inlineStr">
        <x:is>
          <x:t xml:space="preserve">Soles que entran a la 1ra compra de dólares</x:t>
        </x:is>
      </x:c>
      <x:c r="C12" s="6" t="inlineStr">
        <x:is>
          <x:t xml:space="preserve">Dato base</x:t>
        </x:is>
      </x:c>
      <x:c r="D12" s="7">
        <x:f>Datos_base!B13</x:f>
        <x:v>62073</x:v>
      </x:c>
      <x:c r="E12" s="6" t="inlineStr">
        <x:is>
          <x:t xml:space="preserve">Soles</x:t>
        </x:is>
      </x:c>
      <x:c r="F12" s="8" t="inlineStr">
        <x:is>
          <x:t xml:space="preserve">Input</x:t>
        </x:is>
      </x:c>
      <x:c r="G12" s="6" t="inlineStr">
        <x:is>
          <x:t xml:space="preserve">De los S/ 72,300, esta parte sí entra a dólares</x:t>
        </x:is>
      </x:c>
    </x:row>
    <x:row r="13">
      <x:c r="A13" s="6" t="inlineStr">
        <x:is>
          <x:t xml:space="preserve">2.2</x:t>
        </x:is>
      </x:c>
      <x:c r="B13" s="6" t="inlineStr">
        <x:is>
          <x:t xml:space="preserve">Soles que no entran a esa compra</x:t>
        </x:is>
      </x:c>
      <x:c r="C13" s="6" t="inlineStr">
        <x:is>
          <x:t xml:space="preserve">Capital total - soles usados</x:t>
        </x:is>
      </x:c>
      <x:c r="D13" s="12">
        <x:f>Datos_base!B26</x:f>
        <x:v>10227</x:v>
      </x:c>
      <x:c r="E13" s="6" t="inlineStr">
        <x:is>
          <x:t xml:space="preserve">Soles</x:t>
        </x:is>
      </x:c>
      <x:c r="F13" s="13" t="inlineStr">
        <x:is>
          <x:t xml:space="preserve">Fórmula</x:t>
        </x:is>
      </x:c>
      <x:c r="G13" s="6" t="inlineStr">
        <x:is>
          <x:t xml:space="preserve">Es la parte que quedó libre fuera de esa primera compra</x:t>
        </x:is>
      </x:c>
    </x:row>
    <x:row r="14">
      <x:c r="A14" s="6" t="inlineStr">
        <x:is>
          <x:t xml:space="preserve">2.3</x:t>
        </x:is>
      </x:c>
      <x:c r="B14" s="6" t="inlineStr">
        <x:is>
          <x:t xml:space="preserve">Tipo de cambio de compra</x:t>
        </x:is>
      </x:c>
      <x:c r="C14" s="6" t="inlineStr">
        <x:is>
          <x:t xml:space="preserve">Dato base</x:t>
        </x:is>
      </x:c>
      <x:c r="D14" s="14">
        <x:f>Datos_base!B14</x:f>
        <x:v>3.42</x:v>
      </x:c>
      <x:c r="E14" s="6" t="inlineStr">
        <x:is>
          <x:t xml:space="preserve">S/ por USD</x:t>
        </x:is>
      </x:c>
      <x:c r="F14" s="8" t="inlineStr">
        <x:is>
          <x:t xml:space="preserve">Input</x:t>
        </x:is>
      </x:c>
      <x:c r="G14" s="6" t="inlineStr">
        <x:is>
          <x:t xml:space="preserve">Se compran dólares a 3.42</x:t>
        </x:is>
      </x:c>
    </x:row>
    <x:row r="15">
      <x:c r="A15" s="6" t="inlineStr">
        <x:is>
          <x:t xml:space="preserve">2.4</x:t>
        </x:is>
      </x:c>
      <x:c r="B15" s="6" t="inlineStr">
        <x:is>
          <x:t xml:space="preserve">Dólares comprados en la 1ra vuelta</x:t>
        </x:is>
      </x:c>
      <x:c r="C15" s="6" t="inlineStr">
        <x:is>
          <x:t xml:space="preserve">Soles usados / TC compra</x:t>
        </x:is>
      </x:c>
      <x:c r="D15" s="15">
        <x:f>Datos_base!B27</x:f>
        <x:v>18150</x:v>
      </x:c>
      <x:c r="E15" s="6" t="inlineStr">
        <x:is>
          <x:t xml:space="preserve">USD</x:t>
        </x:is>
      </x:c>
      <x:c r="F15" s="13" t="inlineStr">
        <x:is>
          <x:t xml:space="preserve">Fórmula</x:t>
        </x:is>
      </x:c>
      <x:c r="G15" s="6" t="inlineStr">
        <x:is>
          <x:t xml:space="preserve">Con S/ 62,073 salen US$ 18,150</x:t>
        </x:is>
      </x:c>
    </x:row>
    <x:row r="16">
      <x:c r="A16" s="6" t="inlineStr">
        <x:is>
          <x:t xml:space="preserve">2.5</x:t>
        </x:is>
      </x:c>
      <x:c r="B16" s="6" t="inlineStr">
        <x:is>
          <x:t xml:space="preserve">Tipo de cambio de venta</x:t>
        </x:is>
      </x:c>
      <x:c r="C16" s="6" t="inlineStr">
        <x:is>
          <x:t xml:space="preserve">Dato base</x:t>
        </x:is>
      </x:c>
      <x:c r="D16" s="14">
        <x:f>Datos_base!B15</x:f>
        <x:v>3.47</x:v>
      </x:c>
      <x:c r="E16" s="6" t="inlineStr">
        <x:is>
          <x:t xml:space="preserve">S/ por USD</x:t>
        </x:is>
      </x:c>
      <x:c r="F16" s="8" t="inlineStr">
        <x:is>
          <x:t xml:space="preserve">Input</x:t>
        </x:is>
      </x:c>
      <x:c r="G16" s="6" t="inlineStr">
        <x:is>
          <x:t xml:space="preserve">Luego esos dólares se venden a 3.47</x:t>
        </x:is>
      </x:c>
    </x:row>
    <x:row r="17">
      <x:c r="A17" s="6" t="inlineStr">
        <x:is>
          <x:t xml:space="preserve">2.6</x:t>
        </x:is>
      </x:c>
      <x:c r="B17" s="6" t="inlineStr">
        <x:is>
          <x:t xml:space="preserve">Soles que salen al vender esos dólares</x:t>
        </x:is>
      </x:c>
      <x:c r="C17" s="6" t="inlineStr">
        <x:is>
          <x:t xml:space="preserve">USD comprados x TC venta</x:t>
        </x:is>
      </x:c>
      <x:c r="D17" s="12">
        <x:f>Datos_base!B28</x:f>
        <x:v>62980.5</x:v>
      </x:c>
      <x:c r="E17" s="6" t="inlineStr">
        <x:is>
          <x:t xml:space="preserve">Soles</x:t>
        </x:is>
      </x:c>
      <x:c r="F17" s="13" t="inlineStr">
        <x:is>
          <x:t xml:space="preserve">Fórmula</x:t>
        </x:is>
      </x:c>
      <x:c r="G17" s="6" t="inlineStr">
        <x:is>
          <x:t xml:space="preserve">La venta devuelve S/ 62,980.50</x:t>
        </x:is>
      </x:c>
    </x:row>
    <x:row r="18">
      <x:c r="A18" s="9" t="inlineStr">
        <x:is>
          <x:t xml:space="preserve">2.7</x:t>
        </x:is>
      </x:c>
      <x:c r="B18" s="9" t="inlineStr">
        <x:is>
          <x:t xml:space="preserve">Ganancia de esa vuelta</x:t>
        </x:is>
      </x:c>
      <x:c r="C18" s="9" t="inlineStr">
        <x:is>
          <x:t xml:space="preserve">Soles al vender - soles usados</x:t>
        </x:is>
      </x:c>
      <x:c r="D18" s="10">
        <x:f>Datos_base!B29</x:f>
        <x:v>907.5</x:v>
      </x:c>
      <x:c r="E18" s="9" t="inlineStr">
        <x:is>
          <x:t xml:space="preserve">Soles</x:t>
        </x:is>
      </x:c>
      <x:c r="F18" s="11" t="inlineStr">
        <x:is>
          <x:t xml:space="preserve">Fórmula</x:t>
        </x:is>
      </x:c>
      <x:c r="G18" s="9" t="inlineStr">
        <x:is>
          <x:t xml:space="preserve">La diferencia por tipo de cambio es S/ 907.50</x:t>
        </x:is>
      </x:c>
    </x:row>
    <x:row r="19">
      <x:c r="A19" s="42" t="inlineStr">
        <x:is>
          <x:t xml:space="preserve">3. Lo que ya regresó y lo que quedó libre</x:t>
        </x:is>
      </x:c>
      <x:c r="B19" s="41" t="n"/>
      <x:c r="C19" s="41" t="n"/>
      <x:c r="D19" s="41" t="n"/>
      <x:c r="E19" s="41" t="n"/>
      <x:c r="F19" s="41" t="n"/>
      <x:c r="G19" s="41" t="n"/>
    </x:row>
    <x:row r="20">
      <x:c r="A20" s="6" t="inlineStr">
        <x:is>
          <x:t xml:space="preserve">3.1</x:t>
        </x:is>
      </x:c>
      <x:c r="B20" s="6" t="inlineStr">
        <x:is>
          <x:t xml:space="preserve">Monto que ya te devolvieron</x:t>
        </x:is>
      </x:c>
      <x:c r="C20" s="6" t="inlineStr">
        <x:is>
          <x:t xml:space="preserve">Dato base</x:t>
        </x:is>
      </x:c>
      <x:c r="D20" s="7">
        <x:f>Datos_base!B16</x:f>
        <x:v>18000</x:v>
      </x:c>
      <x:c r="E20" s="6" t="inlineStr">
        <x:is>
          <x:t xml:space="preserve">Soles</x:t>
        </x:is>
      </x:c>
      <x:c r="F20" s="8" t="inlineStr">
        <x:is>
          <x:t xml:space="preserve">Input</x:t>
        </x:is>
      </x:c>
      <x:c r="G20" s="6" t="inlineStr">
        <x:is>
          <x:t xml:space="preserve">De los S/ 62,980.50, por ahora solo regresaron S/ 18,000</x:t>
        </x:is>
      </x:c>
    </x:row>
    <x:row r="21">
      <x:c r="A21" s="6" t="inlineStr">
        <x:is>
          <x:t xml:space="preserve">3.2</x:t>
        </x:is>
      </x:c>
      <x:c r="B21" s="6" t="inlineStr">
        <x:is>
          <x:t xml:space="preserve">Monto que todavía no regresa de esa 1ra venta</x:t>
        </x:is>
      </x:c>
      <x:c r="C21" s="6" t="inlineStr">
        <x:is>
          <x:t xml:space="preserve">Soles vendidos - soles devueltos</x:t>
        </x:is>
      </x:c>
      <x:c r="D21" s="12">
        <x:f>D17-D20</x:f>
        <x:v>44980.5</x:v>
      </x:c>
      <x:c r="E21" s="6" t="inlineStr">
        <x:is>
          <x:t xml:space="preserve">Soles</x:t>
        </x:is>
      </x:c>
      <x:c r="F21" s="13" t="inlineStr">
        <x:is>
          <x:t xml:space="preserve">Fórmula</x:t>
        </x:is>
      </x:c>
      <x:c r="G21" s="6" t="inlineStr">
        <x:is>
          <x:t xml:space="preserve">Es lo pendiente dentro de esa primera operación</x:t>
        </x:is>
      </x:c>
    </x:row>
    <x:row r="22">
      <x:c r="A22" s="9" t="inlineStr">
        <x:is>
          <x:t xml:space="preserve">3.3</x:t>
        </x:is>
      </x:c>
      <x:c r="B22" s="9" t="inlineStr">
        <x:is>
          <x:t xml:space="preserve">Fondo disponible ahora</x:t>
        </x:is>
      </x:c>
      <x:c r="C22" s="9" t="inlineStr">
        <x:is>
          <x:t xml:space="preserve">Capital libre + monto devuelto</x:t>
        </x:is>
      </x:c>
      <x:c r="D22" s="10">
        <x:f>Datos_base!B30</x:f>
        <x:v>28227</x:v>
      </x:c>
      <x:c r="E22" s="9" t="inlineStr">
        <x:is>
          <x:t xml:space="preserve">Soles</x:t>
        </x:is>
      </x:c>
      <x:c r="F22" s="11" t="inlineStr">
        <x:is>
          <x:t xml:space="preserve">Fórmula</x:t>
        </x:is>
      </x:c>
      <x:c r="G22" s="9" t="inlineStr">
        <x:is>
          <x:t xml:space="preserve">Se junta lo libre (10,227) + lo devuelto (18,000)</x:t>
        </x:is>
      </x:c>
    </x:row>
    <x:row r="23">
      <x:c r="A23" s="42" t="inlineStr">
        <x:is>
          <x:t xml:space="preserve">4. Segunda compra de dólares</x:t>
        </x:is>
      </x:c>
      <x:c r="B23" s="41" t="n"/>
      <x:c r="C23" s="41" t="n"/>
      <x:c r="D23" s="41" t="n"/>
      <x:c r="E23" s="41" t="n"/>
      <x:c r="F23" s="41" t="n"/>
      <x:c r="G23" s="41" t="n"/>
    </x:row>
    <x:row r="24">
      <x:c r="A24" s="6" t="inlineStr">
        <x:is>
          <x:t xml:space="preserve">4.1</x:t>
        </x:is>
      </x:c>
      <x:c r="B24" s="6" t="inlineStr">
        <x:is>
          <x:t xml:space="preserve">Si compras dólares otra vez con el fondo disponible exacto</x:t>
        </x:is>
      </x:c>
      <x:c r="C24" s="6" t="inlineStr">
        <x:is>
          <x:t xml:space="preserve">Fondo disponible / 3.47</x:t>
        </x:is>
      </x:c>
      <x:c r="D24" s="15">
        <x:f>Datos_base!B31</x:f>
        <x:v>8134.582132564841</x:v>
      </x:c>
      <x:c r="E24" s="6" t="inlineStr">
        <x:is>
          <x:t xml:space="preserve">USD</x:t>
        </x:is>
      </x:c>
      <x:c r="F24" s="13" t="inlineStr">
        <x:is>
          <x:t xml:space="preserve">Fórmula</x:t>
        </x:is>
      </x:c>
      <x:c r="G24" s="6" t="inlineStr">
        <x:is>
          <x:t xml:space="preserve">Cálculo exacto al TC 3.47</x:t>
        </x:is>
      </x:c>
    </x:row>
    <x:row r="25">
      <x:c r="A25" s="6" t="inlineStr">
        <x:is>
          <x:t xml:space="preserve">4.2</x:t>
        </x:is>
      </x:c>
      <x:c r="B25" s="6" t="inlineStr">
        <x:is>
          <x:t xml:space="preserve">USD que figuran en tu apunte</x:t>
        </x:is>
      </x:c>
      <x:c r="C25" s="6" t="inlineStr">
        <x:is>
          <x:t xml:space="preserve">Dato manual</x:t>
        </x:is>
      </x:c>
      <x:c r="D25" s="16">
        <x:f>Datos_base!B17</x:f>
        <x:v>8122</x:v>
      </x:c>
      <x:c r="E25" s="6" t="inlineStr">
        <x:is>
          <x:t xml:space="preserve">USD</x:t>
        </x:is>
      </x:c>
      <x:c r="F25" s="17" t="inlineStr">
        <x:is>
          <x:t xml:space="preserve">Manual</x:t>
        </x:is>
      </x:c>
      <x:c r="G25" s="6" t="inlineStr">
        <x:is>
          <x:t xml:space="preserve">Tu hoja pone US$ 8,122</x:t>
        </x:is>
      </x:c>
    </x:row>
    <x:row r="26">
      <x:c r="A26" s="6" t="inlineStr">
        <x:is>
          <x:t xml:space="preserve">4.3</x:t>
        </x:is>
      </x:c>
      <x:c r="B26" s="6" t="inlineStr">
        <x:is>
          <x:t xml:space="preserve">Diferencia entre apunte y cálculo exacto</x:t>
        </x:is>
      </x:c>
      <x:c r="C26" s="6" t="inlineStr">
        <x:is>
          <x:t xml:space="preserve">USD manual - USD exactos</x:t>
        </x:is>
      </x:c>
      <x:c r="D26" s="18">
        <x:f>Datos_base!B32</x:f>
        <x:v>-12.582132564841231</x:v>
      </x:c>
      <x:c r="E26" s="6" t="inlineStr">
        <x:is>
          <x:t xml:space="preserve">USD</x:t>
        </x:is>
      </x:c>
      <x:c r="F26" s="19" t="inlineStr">
        <x:is>
          <x:t xml:space="preserve">Control</x:t>
        </x:is>
      </x:c>
      <x:c r="G26" s="6" t="inlineStr">
        <x:is>
          <x:t xml:space="preserve">Sirve para ver si hubo redondeo, costo o un tipo de cambio real distinto</x:t>
        </x:is>
      </x:c>
    </x:row>
    <x:row r="27">
      <x:c r="A27" s="42" t="inlineStr">
        <x:is>
          <x:t xml:space="preserve">5. Compra del MDF</x:t>
        </x:is>
      </x:c>
      <x:c r="B27" s="41" t="n"/>
      <x:c r="C27" s="41" t="n"/>
      <x:c r="D27" s="41" t="n"/>
      <x:c r="E27" s="41" t="n"/>
      <x:c r="F27" s="41" t="n"/>
      <x:c r="G27" s="41" t="n"/>
    </x:row>
    <x:row r="28">
      <x:c r="A28" s="6" t="inlineStr">
        <x:is>
          <x:t xml:space="preserve">5.1</x:t>
        </x:is>
      </x:c>
      <x:c r="B28" s="6" t="inlineStr">
        <x:is>
          <x:t xml:space="preserve">USD totales que termina costando el MDF</x:t>
        </x:is>
      </x:c>
      <x:c r="C28" s="6" t="inlineStr">
        <x:is>
          <x:t xml:space="preserve">Dato base</x:t>
        </x:is>
      </x:c>
      <x:c r="D28" s="20">
        <x:f>Datos_base!B18</x:f>
        <x:v>10143</x:v>
      </x:c>
      <x:c r="E28" s="6" t="inlineStr">
        <x:is>
          <x:t xml:space="preserve">USD</x:t>
        </x:is>
      </x:c>
      <x:c r="F28" s="8" t="inlineStr">
        <x:is>
          <x:t xml:space="preserve">Input</x:t>
        </x:is>
      </x:c>
      <x:c r="G28" s="6" t="inlineStr">
        <x:is>
          <x:t xml:space="preserve">Ese es el tamaño total de la compra de MDF</x:t>
        </x:is>
      </x:c>
    </x:row>
    <x:row r="29">
      <x:c r="A29" s="6" t="inlineStr">
        <x:is>
          <x:t xml:space="preserve">5.2</x:t>
        </x:is>
      </x:c>
      <x:c r="B29" s="6" t="inlineStr">
        <x:is>
          <x:t xml:space="preserve">USD faltantes según tu apunte</x:t>
        </x:is>
      </x:c>
      <x:c r="C29" s="6" t="inlineStr">
        <x:is>
          <x:t xml:space="preserve">USD MDF - USD manuales</x:t>
        </x:is>
      </x:c>
      <x:c r="D29" s="16">
        <x:f>Datos_base!B33</x:f>
        <x:v>2021</x:v>
      </x:c>
      <x:c r="E29" s="6" t="inlineStr">
        <x:is>
          <x:t xml:space="preserve">USD</x:t>
        </x:is>
      </x:c>
      <x:c r="F29" s="17" t="inlineStr">
        <x:is>
          <x:t xml:space="preserve">Manual</x:t>
        </x:is>
      </x:c>
      <x:c r="G29" s="6" t="inlineStr">
        <x:is>
          <x:t xml:space="preserve">Usando tu dato manual: 10,143 - 8,122 = 2,021</x:t>
        </x:is>
      </x:c>
    </x:row>
    <x:row r="30">
      <x:c r="A30" s="6" t="inlineStr">
        <x:is>
          <x:t xml:space="preserve">5.3</x:t>
        </x:is>
      </x:c>
      <x:c r="B30" s="6" t="inlineStr">
        <x:is>
          <x:t xml:space="preserve">USD faltantes según cálculo exacto</x:t>
        </x:is>
      </x:c>
      <x:c r="C30" s="6" t="inlineStr">
        <x:is>
          <x:t xml:space="preserve">USD MDF - USD exactos</x:t>
        </x:is>
      </x:c>
      <x:c r="D30" s="15">
        <x:f>Datos_base!B34</x:f>
        <x:v>2008.4178674351588</x:v>
      </x:c>
      <x:c r="E30" s="6" t="inlineStr">
        <x:is>
          <x:t xml:space="preserve">USD</x:t>
        </x:is>
      </x:c>
      <x:c r="F30" s="13" t="inlineStr">
        <x:is>
          <x:t xml:space="preserve">Fórmula</x:t>
        </x:is>
      </x:c>
      <x:c r="G30" s="6" t="inlineStr">
        <x:is>
          <x:t xml:space="preserve">Usando el cálculo exacto de la segunda compra</x:t>
        </x:is>
      </x:c>
    </x:row>
    <x:row r="31">
      <x:c r="A31" s="6" t="inlineStr">
        <x:is>
          <x:t xml:space="preserve">5.4</x:t>
        </x:is>
      </x:c>
      <x:c r="B31" s="6" t="inlineStr">
        <x:is>
          <x:t xml:space="preserve">Soles faltantes según tu apunte</x:t>
        </x:is>
      </x:c>
      <x:c r="C31" s="6" t="inlineStr">
        <x:is>
          <x:t xml:space="preserve">Dato manual</x:t>
        </x:is>
      </x:c>
      <x:c r="D31" s="21">
        <x:f>Datos_base!B19</x:f>
        <x:v>7047</x:v>
      </x:c>
      <x:c r="E31" s="6" t="inlineStr">
        <x:is>
          <x:t xml:space="preserve">Soles</x:t>
        </x:is>
      </x:c>
      <x:c r="F31" s="17" t="inlineStr">
        <x:is>
          <x:t xml:space="preserve">Manual</x:t>
        </x:is>
      </x:c>
      <x:c r="G31" s="6" t="inlineStr">
        <x:is>
          <x:t xml:space="preserve">Tu hoja pone S/ 7,047</x:t>
        </x:is>
      </x:c>
    </x:row>
    <x:row r="32">
      <x:c r="A32" s="6" t="inlineStr">
        <x:is>
          <x:t xml:space="preserve">5.5</x:t>
        </x:is>
      </x:c>
      <x:c r="B32" s="6" t="inlineStr">
        <x:is>
          <x:t xml:space="preserve">Soles faltantes según cálculo exacto</x:t>
        </x:is>
      </x:c>
      <x:c r="C32" s="6" t="inlineStr">
        <x:is>
          <x:t xml:space="preserve">USD faltantes exactos x 3.47</x:t>
        </x:is>
      </x:c>
      <x:c r="D32" s="12">
        <x:f>Datos_base!B35</x:f>
        <x:v>6969.210000000001</x:v>
      </x:c>
      <x:c r="E32" s="6" t="inlineStr">
        <x:is>
          <x:t xml:space="preserve">Soles</x:t>
        </x:is>
      </x:c>
      <x:c r="F32" s="13" t="inlineStr">
        <x:is>
          <x:t xml:space="preserve">Fórmula</x:t>
        </x:is>
      </x:c>
      <x:c r="G32" s="6" t="inlineStr">
        <x:is>
          <x:t xml:space="preserve">USD faltantes exactos x 3.47</x:t>
        </x:is>
      </x:c>
    </x:row>
    <x:row r="33">
      <x:c r="A33" s="6" t="inlineStr">
        <x:is>
          <x:t xml:space="preserve">5.6</x:t>
        </x:is>
      </x:c>
      <x:c r="B33" s="6" t="inlineStr">
        <x:is>
          <x:t xml:space="preserve">Total liberado / devuelto que ya se considera manualmente</x:t>
        </x:is>
      </x:c>
      <x:c r="C33" s="6" t="inlineStr">
        <x:is>
          <x:t xml:space="preserve">Capital libre + devuelto + faltante manual</x:t>
        </x:is>
      </x:c>
      <x:c r="D33" s="21">
        <x:f>Datos_base!B36</x:f>
        <x:v>35274</x:v>
      </x:c>
      <x:c r="E33" s="6" t="inlineStr">
        <x:is>
          <x:t xml:space="preserve">Soles</x:t>
        </x:is>
      </x:c>
      <x:c r="F33" s="17" t="inlineStr">
        <x:is>
          <x:t xml:space="preserve">Manual</x:t>
        </x:is>
      </x:c>
      <x:c r="G33" s="6" t="inlineStr">
        <x:is>
          <x:t xml:space="preserve">10,227 + 18,000 + 7,047 = 35,274</x:t>
        </x:is>
      </x:c>
    </x:row>
    <x:row r="34">
      <x:c r="A34" s="9" t="inlineStr">
        <x:is>
          <x:t xml:space="preserve">5.7</x:t>
        </x:is>
      </x:c>
      <x:c r="B34" s="9" t="inlineStr">
        <x:is>
          <x:t xml:space="preserve">Pendiente por devolver según tu esquema manual</x:t>
        </x:is>
      </x:c>
      <x:c r="C34" s="9" t="inlineStr">
        <x:is>
          <x:t xml:space="preserve">Soles vendidos - total manual considerado</x:t>
        </x:is>
      </x:c>
      <x:c r="D34" s="22">
        <x:f>Datos_base!B37</x:f>
        <x:v>27706.5</x:v>
      </x:c>
      <x:c r="E34" s="9" t="inlineStr">
        <x:is>
          <x:t xml:space="preserve">Soles</x:t>
        </x:is>
      </x:c>
      <x:c r="F34" s="23" t="inlineStr">
        <x:is>
          <x:t xml:space="preserve">Manual</x:t>
        </x:is>
      </x:c>
      <x:c r="G34" s="9" t="inlineStr">
        <x:is>
          <x:t xml:space="preserve">62,980.50 - 35,274 = 27,706.50</x:t>
        </x:is>
      </x:c>
    </x:row>
    <x:row r="35">
      <x:c r="A35" s="42" t="inlineStr">
        <x:is>
          <x:t xml:space="preserve">6. Venta final de melaminas</x:t>
        </x:is>
      </x:c>
      <x:c r="B35" s="41" t="n"/>
      <x:c r="C35" s="41" t="n"/>
      <x:c r="D35" s="41" t="n"/>
      <x:c r="E35" s="41" t="n"/>
      <x:c r="F35" s="41" t="n"/>
      <x:c r="G35" s="41" t="n"/>
    </x:row>
    <x:row r="36">
      <x:c r="A36" s="6" t="inlineStr">
        <x:is>
          <x:t xml:space="preserve">6.1</x:t>
        </x:is>
      </x:c>
      <x:c r="B36" s="6" t="inlineStr">
        <x:is>
          <x:t xml:space="preserve">Melaminas compradas</x:t>
        </x:is>
      </x:c>
      <x:c r="C36" s="6" t="inlineStr">
        <x:is>
          <x:t xml:space="preserve">Dato base</x:t>
        </x:is>
      </x:c>
      <x:c r="D36" s="24">
        <x:f>Datos_base!B20</x:f>
        <x:v>2070</x:v>
      </x:c>
      <x:c r="E36" s="6" t="inlineStr">
        <x:is>
          <x:t xml:space="preserve">Unidades</x:t>
        </x:is>
      </x:c>
      <x:c r="F36" s="8" t="inlineStr">
        <x:is>
          <x:t xml:space="preserve">Input</x:t>
        </x:is>
      </x:c>
      <x:c r="G36" s="6" t="inlineStr">
        <x:is>
          <x:t xml:space="preserve">Con los US$ 10,143 se compran 2,070 melaminas</x:t>
        </x:is>
      </x:c>
    </x:row>
    <x:row r="37">
      <x:c r="A37" s="6" t="inlineStr">
        <x:is>
          <x:t xml:space="preserve">6.2</x:t>
        </x:is>
      </x:c>
      <x:c r="B37" s="6" t="inlineStr">
        <x:is>
          <x:t xml:space="preserve">Precio de venta por melamina</x:t>
        </x:is>
      </x:c>
      <x:c r="C37" s="6" t="inlineStr">
        <x:is>
          <x:t xml:space="preserve">Dato base</x:t>
        </x:is>
      </x:c>
      <x:c r="D37" s="20">
        <x:f>Datos_base!B21</x:f>
        <x:v>5.8</x:v>
      </x:c>
      <x:c r="E37" s="6" t="inlineStr">
        <x:is>
          <x:t xml:space="preserve">USD/unidad</x:t>
        </x:is>
      </x:c>
      <x:c r="F37" s="8" t="inlineStr">
        <x:is>
          <x:t xml:space="preserve">Input</x:t>
        </x:is>
      </x:c>
      <x:c r="G37" s="6" t="inlineStr">
        <x:is>
          <x:t xml:space="preserve">Cada una se vendería a US$ 5.80</x:t>
        </x:is>
      </x:c>
    </x:row>
    <x:row r="38">
      <x:c r="A38" s="6" t="inlineStr">
        <x:is>
          <x:t xml:space="preserve">6.3</x:t>
        </x:is>
      </x:c>
      <x:c r="B38" s="6" t="inlineStr">
        <x:is>
          <x:t xml:space="preserve">Ventas finales proyectadas</x:t>
        </x:is>
      </x:c>
      <x:c r="C38" s="6" t="inlineStr">
        <x:is>
          <x:t xml:space="preserve">Melaminas x precio por unidad</x:t>
        </x:is>
      </x:c>
      <x:c r="D38" s="15">
        <x:f>Datos_base!B38</x:f>
        <x:v>12006</x:v>
      </x:c>
      <x:c r="E38" s="6" t="inlineStr">
        <x:is>
          <x:t xml:space="preserve">USD</x:t>
        </x:is>
      </x:c>
      <x:c r="F38" s="13" t="inlineStr">
        <x:is>
          <x:t xml:space="preserve">Fórmula</x:t>
        </x:is>
      </x:c>
      <x:c r="G38" s="6" t="inlineStr">
        <x:is>
          <x:t xml:space="preserve">2,070 x 5.80 = 12,006</x:t>
        </x:is>
      </x:c>
    </x:row>
    <x:row r="39">
      <x:c r="A39" s="6" t="inlineStr">
        <x:is>
          <x:t xml:space="preserve">6.4</x:t>
        </x:is>
      </x:c>
      <x:c r="B39" s="6" t="inlineStr">
        <x:is>
          <x:t xml:space="preserve">Costo total del MDF</x:t>
        </x:is>
      </x:c>
      <x:c r="C39" s="6" t="inlineStr">
        <x:is>
          <x:t xml:space="preserve">Dato base</x:t>
        </x:is>
      </x:c>
      <x:c r="D39" s="20">
        <x:f>Datos_base!B18</x:f>
        <x:v>10143</x:v>
      </x:c>
      <x:c r="E39" s="6" t="inlineStr">
        <x:is>
          <x:t xml:space="preserve">USD</x:t>
        </x:is>
      </x:c>
      <x:c r="F39" s="8" t="inlineStr">
        <x:is>
          <x:t xml:space="preserve">Input</x:t>
        </x:is>
      </x:c>
      <x:c r="G39" s="6" t="inlineStr">
        <x:is>
          <x:t xml:space="preserve">Costo base de la compra</x:t>
        </x:is>
      </x:c>
    </x:row>
    <x:row r="40">
      <x:c r="A40" s="9" t="inlineStr">
        <x:is>
          <x:t xml:space="preserve">6.5</x:t>
        </x:is>
      </x:c>
      <x:c r="B40" s="9" t="inlineStr">
        <x:is>
          <x:t xml:space="preserve">Utilidad bruta final</x:t>
        </x:is>
      </x:c>
      <x:c r="C40" s="9" t="inlineStr">
        <x:is>
          <x:t xml:space="preserve">Ventas finales - costo MDF</x:t>
        </x:is>
      </x:c>
      <x:c r="D40" s="25">
        <x:f>Datos_base!B39</x:f>
        <x:v>1863</x:v>
      </x:c>
      <x:c r="E40" s="9" t="inlineStr">
        <x:is>
          <x:t xml:space="preserve">USD</x:t>
        </x:is>
      </x:c>
      <x:c r="F40" s="11" t="inlineStr">
        <x:is>
          <x:t xml:space="preserve">Fórmula</x:t>
        </x:is>
      </x:c>
      <x:c r="G40" s="9" t="inlineStr">
        <x:is>
          <x:t xml:space="preserve">12,006 - 10,143 = 1,863</x:t>
        </x:is>
      </x:c>
    </x:row>
  </x:sheetData>
  <x:mergeCells>
    <x:mergeCell ref="A27:G27"/>
    <x:mergeCell ref="A35:G35"/>
    <x:mergeCell ref="A19:G19"/>
    <x:mergeCell ref="A11:G11"/>
    <x:mergeCell ref="A5:G5"/>
    <x:mergeCell ref="A23:G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6" customWidth="1"/>
    <x:col min="3" max="3" width="12" customWidth="1"/>
    <x:col min="4" max="4" width="52" customWidth="1"/>
  </x:cols>
  <x:sheetData>
    <x:row r="1">
      <x:c r="A1" s="1" t="inlineStr">
        <x:is>
          <x:t xml:space="preserve">Resumen rápido</x:t>
        </x:is>
      </x:c>
      <x:c r="B1" s="2" t="n"/>
      <x:c r="C1" s="2" t="n"/>
      <x:c r="D1" s="2" t="n"/>
    </x:row>
    <x:row r="2">
      <x:c r="A2" s="3" t="inlineStr">
        <x:is>
          <x:t xml:space="preserve">Si solo quieres ver los puntos clave, mira esta hoja.</x:t>
        </x:is>
      </x:c>
      <x:c r="B2" s="2" t="n"/>
      <x:c r="C2" s="2" t="n"/>
      <x:c r="D2" s="2" t="n"/>
    </x:row>
    <x:row r="3">
      <x:c r="A3" s="2" t="n"/>
      <x:c r="B3" s="2" t="n"/>
      <x:c r="C3" s="2" t="n"/>
      <x:c r="D3" s="2" t="n"/>
    </x:row>
    <x:row r="4">
      <x:c r="A4" s="26" t="inlineStr">
        <x:is>
          <x:t xml:space="preserve">Indicador</x:t>
        </x:is>
      </x:c>
      <x:c r="B4" s="26" t="inlineStr">
        <x:is>
          <x:t xml:space="preserve">Valor</x:t>
        </x:is>
      </x:c>
      <x:c r="C4" s="26" t="inlineStr">
        <x:is>
          <x:t xml:space="preserve">Unidad</x:t>
        </x:is>
      </x:c>
      <x:c r="D4" s="26" t="inlineStr">
        <x:is>
          <x:t xml:space="preserve">Lectura</x:t>
        </x:is>
      </x:c>
    </x:row>
    <x:row r="5">
      <x:c r="A5" s="2" t="inlineStr">
        <x:is>
          <x:t xml:space="preserve">Capital total</x:t>
        </x:is>
      </x:c>
      <x:c r="B5" s="27">
        <x:f>Datos_base!B4</x:f>
        <x:v>72300</x:v>
      </x:c>
      <x:c r="C5" s="2" t="inlineStr">
        <x:is>
          <x:t xml:space="preserve">Soles</x:t>
        </x:is>
      </x:c>
      <x:c r="D5" s="2" t="inlineStr">
        <x:is>
          <x:t xml:space="preserve">Todo el capital armado</x:t>
        </x:is>
      </x:c>
    </x:row>
    <x:row r="6">
      <x:c r="A6" s="2" t="inlineStr">
        <x:is>
          <x:t xml:space="preserve">Monto que entró a la 1ra compra de USD</x:t>
        </x:is>
      </x:c>
      <x:c r="B6" s="27">
        <x:f>Datos_base!B13</x:f>
        <x:v>62073</x:v>
      </x:c>
      <x:c r="C6" s="2" t="inlineStr">
        <x:is>
          <x:t xml:space="preserve">Soles</x:t>
        </x:is>
      </x:c>
      <x:c r="D6" s="2" t="inlineStr">
        <x:is>
          <x:t xml:space="preserve">Lo que sí se cambió a dólares</x:t>
        </x:is>
      </x:c>
    </x:row>
    <x:row r="7">
      <x:c r="A7" s="2" t="inlineStr">
        <x:is>
          <x:t xml:space="preserve">Monto que quedó libre</x:t>
        </x:is>
      </x:c>
      <x:c r="B7" s="27">
        <x:f>Datos_base!B26</x:f>
        <x:v>10227</x:v>
      </x:c>
      <x:c r="C7" s="2" t="inlineStr">
        <x:is>
          <x:t xml:space="preserve">Soles</x:t>
        </x:is>
      </x:c>
      <x:c r="D7" s="2" t="inlineStr">
        <x:is>
          <x:t xml:space="preserve">No entró a la primera compra</x:t>
        </x:is>
      </x:c>
    </x:row>
    <x:row r="8">
      <x:c r="A8" s="2" t="inlineStr">
        <x:is>
          <x:t xml:space="preserve">USD de la 1ra compra</x:t>
        </x:is>
      </x:c>
      <x:c r="B8" s="28">
        <x:f>Datos_base!B27</x:f>
        <x:v>18150</x:v>
      </x:c>
      <x:c r="C8" s="2" t="inlineStr">
        <x:is>
          <x:t xml:space="preserve">USD</x:t>
        </x:is>
      </x:c>
      <x:c r="D8" s="2" t="inlineStr">
        <x:is>
          <x:t xml:space="preserve">US$ 18,150</x:t>
        </x:is>
      </x:c>
    </x:row>
    <x:row r="9">
      <x:c r="A9" s="2" t="inlineStr">
        <x:is>
          <x:t xml:space="preserve">Soles obtenidos al vender</x:t>
        </x:is>
      </x:c>
      <x:c r="B9" s="27">
        <x:f>Datos_base!B28</x:f>
        <x:v>62980.5</x:v>
      </x:c>
      <x:c r="C9" s="2" t="inlineStr">
        <x:is>
          <x:t xml:space="preserve">Soles</x:t>
        </x:is>
      </x:c>
      <x:c r="D9" s="2" t="inlineStr">
        <x:is>
          <x:t xml:space="preserve">S/ 62,980.50</x:t>
        </x:is>
      </x:c>
    </x:row>
    <x:row r="10">
      <x:c r="A10" s="2" t="inlineStr">
        <x:is>
          <x:t xml:space="preserve">Ganancia por tipo de cambio</x:t>
        </x:is>
      </x:c>
      <x:c r="B10" s="27">
        <x:f>Datos_base!B29</x:f>
        <x:v>907.5</x:v>
      </x:c>
      <x:c r="C10" s="2" t="inlineStr">
        <x:is>
          <x:t xml:space="preserve">Soles</x:t>
        </x:is>
      </x:c>
      <x:c r="D10" s="2" t="inlineStr">
        <x:is>
          <x:t xml:space="preserve">S/ 907.50</x:t>
        </x:is>
      </x:c>
    </x:row>
    <x:row r="11">
      <x:c r="A11" s="2" t="inlineStr">
        <x:is>
          <x:t xml:space="preserve">Devuelto hasta ahora</x:t>
        </x:is>
      </x:c>
      <x:c r="B11" s="27">
        <x:f>Datos_base!B16</x:f>
        <x:v>18000</x:v>
      </x:c>
      <x:c r="C11" s="2" t="inlineStr">
        <x:is>
          <x:t xml:space="preserve">Soles</x:t>
        </x:is>
      </x:c>
      <x:c r="D11" s="2" t="inlineStr">
        <x:is>
          <x:t xml:space="preserve">Lo que ya regresó</x:t>
        </x:is>
      </x:c>
    </x:row>
    <x:row r="12">
      <x:c r="A12" s="2" t="inlineStr">
        <x:is>
          <x:t xml:space="preserve">Fondo disponible para recompra</x:t>
        </x:is>
      </x:c>
      <x:c r="B12" s="27">
        <x:f>Datos_base!B30</x:f>
        <x:v>28227</x:v>
      </x:c>
      <x:c r="C12" s="2" t="inlineStr">
        <x:is>
          <x:t xml:space="preserve">Soles</x:t>
        </x:is>
      </x:c>
      <x:c r="D12" s="2" t="inlineStr">
        <x:is>
          <x:t xml:space="preserve">10,227 + 18,000</x:t>
        </x:is>
      </x:c>
    </x:row>
    <x:row r="13">
      <x:c r="A13" s="2" t="inlineStr">
        <x:is>
          <x:t xml:space="preserve">USD exactos de la 2da compra</x:t>
        </x:is>
      </x:c>
      <x:c r="B13" s="28">
        <x:f>Datos_base!B31</x:f>
        <x:v>8134.582132564841</x:v>
      </x:c>
      <x:c r="C13" s="2" t="inlineStr">
        <x:is>
          <x:t xml:space="preserve">USD</x:t>
        </x:is>
      </x:c>
      <x:c r="D13" s="2" t="inlineStr">
        <x:is>
          <x:t xml:space="preserve">Cálculo exacto a 3.47</x:t>
        </x:is>
      </x:c>
    </x:row>
    <x:row r="14">
      <x:c r="A14" s="2" t="inlineStr">
        <x:is>
          <x:t xml:space="preserve">USD totales del MDF</x:t>
        </x:is>
      </x:c>
      <x:c r="B14" s="28">
        <x:f>Datos_base!B18</x:f>
        <x:v>10143</x:v>
      </x:c>
      <x:c r="C14" s="2" t="inlineStr">
        <x:is>
          <x:t xml:space="preserve">USD</x:t>
        </x:is>
      </x:c>
      <x:c r="D14" s="2" t="inlineStr">
        <x:is>
          <x:t xml:space="preserve">Costo total</x:t>
        </x:is>
      </x:c>
    </x:row>
    <x:row r="15">
      <x:c r="A15" s="2" t="inlineStr">
        <x:is>
          <x:t xml:space="preserve">Ventas finales proyectadas</x:t>
        </x:is>
      </x:c>
      <x:c r="B15" s="28">
        <x:f>Datos_base!B38</x:f>
        <x:v>12006</x:v>
      </x:c>
      <x:c r="C15" s="2" t="inlineStr">
        <x:is>
          <x:t xml:space="preserve">USD</x:t>
        </x:is>
      </x:c>
      <x:c r="D15" s="2" t="inlineStr">
        <x:is>
          <x:t xml:space="preserve">2,070 x 5.80</x:t>
        </x:is>
      </x:c>
    </x:row>
    <x:row r="16">
      <x:c r="A16" s="2" t="inlineStr">
        <x:is>
          <x:t xml:space="preserve">Utilidad bruta final</x:t>
        </x:is>
      </x:c>
      <x:c r="B16" s="28">
        <x:f>Datos_base!B39</x:f>
        <x:v>1863</x:v>
      </x:c>
      <x:c r="C16" s="2" t="inlineStr">
        <x:is>
          <x:t xml:space="preserve">USD</x:t>
        </x:is>
      </x:c>
      <x:c r="D16" s="2" t="inlineStr">
        <x:is>
          <x:t xml:space="preserve">12,006 - 10,143</x:t>
        </x:is>
      </x:c>
    </x:row>
    <x:row r="17">
      <x:c r="A17" s="2" t="n"/>
      <x:c r="B17" s="2" t="n"/>
      <x:c r="C17" s="2" t="n"/>
      <x:c r="D17" s="2" t="n"/>
    </x:row>
    <x:row r="18">
      <x:c r="A18" s="2" t="n"/>
      <x:c r="B18" s="2" t="n"/>
      <x:c r="C18" s="2" t="n"/>
      <x:c r="D18" s="2" t="n"/>
    </x:row>
    <x:row r="19">
      <x:c r="A19" s="29" t="inlineStr">
        <x:is>
          <x:t xml:space="preserve">Notas</x:t>
        </x:is>
      </x:c>
      <x:c r="B19" s="2" t="n"/>
      <x:c r="C19" s="2" t="n"/>
      <x:c r="D19" s="2" t="n"/>
    </x:row>
    <x:row r="20">
      <x:c r="A20" s="2" t="inlineStr">
        <x:is>
          <x:t xml:space="preserve">1.</x:t>
        </x:is>
      </x:c>
      <x:c r="B20" s="2" t="inlineStr">
        <x:is>
          <x:t xml:space="preserve">El archivo separa el dato manual del cálculo exacto para que se vea claramente qué salió de la hoja y qué sale de la matemática.</x:t>
        </x:is>
      </x:c>
    </x:row>
    <x:row r="21">
      <x:c r="A21" s="2" t="inlineStr">
        <x:is>
          <x:t xml:space="preserve">2.</x:t>
        </x:is>
      </x:c>
      <x:c r="B21" s="2" t="inlineStr">
        <x:is>
          <x:t xml:space="preserve">Según el apunte manual, los faltantes para MDF son US$ 2,021 y S/ 7,047.</x:t>
        </x:is>
      </x:c>
    </x:row>
    <x:row r="22">
      <x:c r="A22" s="2" t="inlineStr">
        <x:is>
          <x:t xml:space="preserve">3.</x:t>
        </x:is>
      </x:c>
      <x:c r="B22" s="2" t="inlineStr">
        <x:is>
          <x:t xml:space="preserve">Según el cálculo exacto con TC 3.47, la segunda compra sería ligeramente mayor que el apunte manual.</x:t>
        </x:is>
      </x:c>
    </x:row>
  </x:sheetData>
  <x:mergeCells>
    <x:mergeCell ref="B22:D22"/>
    <x:mergeCell ref="B21:D21"/>
    <x:mergeCell ref="B20:D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2" customWidth="1"/>
    <x:col min="3" max="3" width="16" customWidth="1"/>
    <x:col min="4" max="4" width="16" customWidth="1"/>
    <x:col min="5" max="5" width="10" customWidth="1"/>
    <x:col min="6" max="6" width="24" customWidth="1"/>
  </x:cols>
  <x:sheetData>
    <x:row r="1">
      <x:c r="A1" s="1" t="inlineStr">
        <x:is>
          <x:t xml:space="preserve">Origen del capital</x:t>
        </x:is>
      </x:c>
      <x:c r="B1" s="2" t="n"/>
      <x:c r="C1" s="2" t="n"/>
      <x:c r="D1" s="2" t="n"/>
      <x:c r="E1" s="2" t="n"/>
      <x:c r="F1" s="2" t="n"/>
    </x:row>
    <x:row r="2">
      <x:c r="A2" s="3" t="inlineStr">
        <x:is>
          <x:t xml:space="preserve">Aquí se ve claramente de dónde salen los S/ 72,300.</x:t>
        </x:is>
      </x:c>
      <x:c r="B2" s="2" t="n"/>
      <x:c r="C2" s="2" t="n"/>
      <x:c r="D2" s="2" t="n"/>
      <x:c r="E2" s="2" t="n"/>
      <x:c r="F2" s="2" t="n"/>
    </x:row>
    <x:row r="3">
      <x:c r="A3" s="2" t="n"/>
      <x:c r="B3" s="2" t="n"/>
      <x:c r="C3" s="2" t="n"/>
      <x:c r="D3" s="2" t="n"/>
      <x:c r="E3" s="2" t="n"/>
      <x:c r="F3" s="2" t="n"/>
    </x:row>
    <x:row r="4">
      <x:c r="A4" s="26" t="inlineStr">
        <x:is>
          <x:t xml:space="preserve">Origen</x:t>
        </x:is>
      </x:c>
      <x:c r="B4" s="26" t="inlineStr">
        <x:is>
          <x:t xml:space="preserve">Tipo</x:t>
        </x:is>
      </x:c>
      <x:c r="C4" s="26" t="inlineStr">
        <x:is>
          <x:t xml:space="preserve">Monto</x:t>
        </x:is>
      </x:c>
      <x:c r="D4" s="26" t="inlineStr">
        <x:is>
          <x:t xml:space="preserve">Cuota mensual</x:t>
        </x:is>
      </x:c>
      <x:c r="E4" s="26" t="inlineStr">
        <x:is>
          <x:t xml:space="preserve">Plazo</x:t>
        </x:is>
      </x:c>
      <x:c r="F4" s="26" t="inlineStr">
        <x:is>
          <x:t xml:space="preserve">Comentario</x:t>
        </x:is>
      </x:c>
    </x:row>
    <x:row r="5">
      <x:c r="A5" s="2" t="inlineStr">
        <x:is>
          <x:t xml:space="preserve">Luigi</x:t>
        </x:is>
      </x:c>
      <x:c r="B5" s="2" t="inlineStr">
        <x:is>
          <x:t xml:space="preserve">Capital / deuda personal</x:t>
        </x:is>
      </x:c>
      <x:c r="C5" s="27">
        <x:f>Datos_base!B5</x:f>
        <x:v>15250</x:v>
      </x:c>
      <x:c r="D5" s="2" t="inlineStr">
        <x:is>
          <x:t xml:space="preserve"/>
        </x:is>
      </x:c>
      <x:c r="E5" s="2" t="inlineStr">
        <x:is>
          <x:t xml:space="preserve"/>
        </x:is>
      </x:c>
      <x:c r="F5" s="2" t="inlineStr">
        <x:is>
          <x:t xml:space="preserve"/>
        </x:is>
      </x:c>
    </x:row>
    <x:row r="6">
      <x:c r="A6" s="2" t="inlineStr">
        <x:is>
          <x:t xml:space="preserve">Isabel</x:t>
        </x:is>
      </x:c>
      <x:c r="B6" s="2" t="inlineStr">
        <x:is>
          <x:t xml:space="preserve">Capital / deuda personal</x:t>
        </x:is>
      </x:c>
      <x:c r="C6" s="27">
        <x:f>Datos_base!B6</x:f>
        <x:v>20450</x:v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</x:row>
    <x:row r="7">
      <x:c r="A7" s="2" t="inlineStr">
        <x:is>
          <x:t xml:space="preserve">Interbank</x:t>
        </x:is>
      </x:c>
      <x:c r="B7" s="2" t="inlineStr">
        <x:is>
          <x:t xml:space="preserve">Préstamo</x:t>
        </x:is>
      </x:c>
      <x:c r="C7" s="27">
        <x:f>Datos_base!B7</x:f>
        <x:v>11800</x:v>
      </x:c>
      <x:c r="D7" s="27">
        <x:f>Datos_base!B8</x:f>
        <x:v>620</x:v>
      </x:c>
      <x:c r="E7" s="30">
        <x:f>Datos_base!B9</x:f>
        <x:v>36</x:v>
      </x:c>
      <x:c r="F7" s="2" t="inlineStr">
        <x:is>
          <x:t xml:space="preserve">620 por 36 meses</x:t>
        </x:is>
      </x:c>
    </x:row>
    <x:row r="8">
      <x:c r="A8" s="2" t="inlineStr">
        <x:is>
          <x:t xml:space="preserve">Ripley</x:t>
        </x:is>
      </x:c>
      <x:c r="B8" s="2" t="inlineStr">
        <x:is>
          <x:t xml:space="preserve">Préstamo</x:t>
        </x:is>
      </x:c>
      <x:c r="C8" s="27">
        <x:f>Datos_base!B10</x:f>
        <x:v>24800</x:v>
      </x:c>
      <x:c r="D8" s="27">
        <x:f>Datos_base!B11</x:f>
        <x:v>1000</x:v>
      </x:c>
      <x:c r="E8" s="30">
        <x:f>Datos_base!B12</x:f>
        <x:v>36</x:v>
      </x:c>
      <x:c r="F8" s="2" t="inlineStr">
        <x:is>
          <x:t xml:space="preserve">1,000 por 36 meses</x:t>
        </x:is>
      </x:c>
    </x:row>
    <x:row r="9">
      <x:c r="A9" s="2" t="n"/>
      <x:c r="B9" s="2" t="n"/>
      <x:c r="C9" s="2" t="n"/>
      <x:c r="D9" s="2" t="n"/>
      <x:c r="E9" s="2" t="n"/>
      <x:c r="F9" s="2" t="n"/>
    </x:row>
    <x:row r="10">
      <x:c r="A10" s="31" t="inlineStr">
        <x:is>
          <x:t xml:space="preserve">Total capital</x:t>
        </x:is>
      </x:c>
      <x:c r="B10" s="32" t="n"/>
      <x:c r="C10" s="33">
        <x:f>SUM(C5:C8)</x:f>
        <x:v>72300</x:v>
      </x:c>
      <x:c r="D10" s="32" t="n"/>
      <x:c r="E10" s="32" t="n"/>
      <x:c r="F10" s="32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2" customWidth="1"/>
    <x:col min="3" max="3" width="16" customWidth="1"/>
    <x:col min="4" max="4" width="14" customWidth="1"/>
    <x:col min="5" max="5" width="52" customWidth="1"/>
  </x:cols>
  <x:sheetData>
    <x:row r="1">
      <x:c r="A1" s="1" t="inlineStr">
        <x:is>
          <x:t xml:space="preserve">Primera operación de cambio</x:t>
        </x:is>
      </x:c>
      <x:c r="B1" s="2" t="n"/>
      <x:c r="C1" s="2" t="n"/>
      <x:c r="D1" s="2" t="n"/>
      <x:c r="E1" s="2" t="n"/>
    </x:row>
    <x:row r="2">
      <x:c r="A2" s="3" t="inlineStr">
        <x:is>
          <x:t xml:space="preserve">Este bloque responde: cuánto se puso en dólares, a qué tipo de cambio y cuánto salió al vender.</x:t>
        </x:is>
      </x:c>
      <x:c r="B2" s="2" t="n"/>
      <x:c r="C2" s="2" t="n"/>
      <x:c r="D2" s="2" t="n"/>
      <x:c r="E2" s="2" t="n"/>
    </x:row>
    <x:row r="3">
      <x:c r="A3" s="2" t="n"/>
      <x:c r="B3" s="2" t="n"/>
      <x:c r="C3" s="2" t="n"/>
      <x:c r="D3" s="2" t="n"/>
      <x:c r="E3" s="2" t="n"/>
    </x:row>
    <x:row r="4">
      <x:c r="A4" s="26" t="inlineStr">
        <x:is>
          <x:t xml:space="preserve">Concepto</x:t>
        </x:is>
      </x:c>
      <x:c r="B4" s="26" t="inlineStr">
        <x:is>
          <x:t xml:space="preserve">Cálculo</x:t>
        </x:is>
      </x:c>
      <x:c r="C4" s="26" t="inlineStr">
        <x:is>
          <x:t xml:space="preserve">Resultado</x:t>
        </x:is>
      </x:c>
      <x:c r="D4" s="26" t="inlineStr">
        <x:is>
          <x:t xml:space="preserve">Unidad</x:t>
        </x:is>
      </x:c>
      <x:c r="E4" s="26" t="inlineStr">
        <x:is>
          <x:t xml:space="preserve">Explicación</x:t>
        </x:is>
      </x:c>
    </x:row>
    <x:row r="5">
      <x:c r="A5" s="2" t="inlineStr">
        <x:is>
          <x:t xml:space="preserve">Capital total</x:t>
        </x:is>
      </x:c>
      <x:c r="B5" s="2" t="inlineStr">
        <x:is>
          <x:t xml:space="preserve">Dato base</x:t>
        </x:is>
      </x:c>
      <x:c r="C5" s="27">
        <x:f>Datos_base!B4</x:f>
        <x:v>72300</x:v>
      </x:c>
      <x:c r="D5" s="2" t="inlineStr">
        <x:is>
          <x:t xml:space="preserve">Soles</x:t>
        </x:is>
      </x:c>
      <x:c r="E5" s="2" t="inlineStr">
        <x:is>
          <x:t xml:space="preserve">Se parte de S/ 72,300</x:t>
        </x:is>
      </x:c>
    </x:row>
    <x:row r="6">
      <x:c r="A6" s="2" t="inlineStr">
        <x:is>
          <x:t xml:space="preserve">Soles usados para comprar USD</x:t>
        </x:is>
      </x:c>
      <x:c r="B6" s="2" t="inlineStr">
        <x:is>
          <x:t xml:space="preserve">Dato base</x:t>
        </x:is>
      </x:c>
      <x:c r="C6" s="27">
        <x:f>Datos_base!B13</x:f>
        <x:v>62073</x:v>
      </x:c>
      <x:c r="D6" s="2" t="inlineStr">
        <x:is>
          <x:t xml:space="preserve">Soles</x:t>
        </x:is>
      </x:c>
      <x:c r="E6" s="2" t="inlineStr">
        <x:is>
          <x:t xml:space="preserve">Monto que sí entra a la primera operación</x:t>
        </x:is>
      </x:c>
    </x:row>
    <x:row r="7">
      <x:c r="A7" s="2" t="inlineStr">
        <x:is>
          <x:t xml:space="preserve">Soles no usados en esa compra</x:t>
        </x:is>
      </x:c>
      <x:c r="B7" s="2" t="inlineStr">
        <x:is>
          <x:t xml:space="preserve">Capital total - soles usados</x:t>
        </x:is>
      </x:c>
      <x:c r="C7" s="27">
        <x:f>Datos_base!B26</x:f>
        <x:v>10227</x:v>
      </x:c>
      <x:c r="D7" s="2" t="inlineStr">
        <x:is>
          <x:t xml:space="preserve">Soles</x:t>
        </x:is>
      </x:c>
      <x:c r="E7" s="2" t="inlineStr">
        <x:is>
          <x:t xml:space="preserve">Parte del capital que se queda fuera: S/ 10,227</x:t>
        </x:is>
      </x:c>
    </x:row>
    <x:row r="8">
      <x:c r="A8" s="2" t="inlineStr">
        <x:is>
          <x:t xml:space="preserve">Tipo de cambio de compra</x:t>
        </x:is>
      </x:c>
      <x:c r="B8" s="2" t="inlineStr">
        <x:is>
          <x:t xml:space="preserve">Dato base</x:t>
        </x:is>
      </x:c>
      <x:c r="C8" s="28">
        <x:f>Datos_base!B14</x:f>
        <x:v>3.42</x:v>
      </x:c>
      <x:c r="D8" s="2" t="inlineStr">
        <x:is>
          <x:t xml:space="preserve">S/ por USD</x:t>
        </x:is>
      </x:c>
      <x:c r="E8" s="2" t="inlineStr">
        <x:is>
          <x:t xml:space="preserve">3.42</x:t>
        </x:is>
      </x:c>
    </x:row>
    <x:row r="9">
      <x:c r="A9" s="2" t="inlineStr">
        <x:is>
          <x:t xml:space="preserve">USD comprados</x:t>
        </x:is>
      </x:c>
      <x:c r="B9" s="2" t="inlineStr">
        <x:is>
          <x:t xml:space="preserve">Soles usados / TC compra</x:t>
        </x:is>
      </x:c>
      <x:c r="C9" s="28">
        <x:f>Datos_base!B27</x:f>
        <x:v>18150</x:v>
      </x:c>
      <x:c r="D9" s="2" t="inlineStr">
        <x:is>
          <x:t xml:space="preserve">USD</x:t>
        </x:is>
      </x:c>
      <x:c r="E9" s="2" t="inlineStr">
        <x:is>
          <x:t xml:space="preserve">62,073 / 3.42 = 18,150</x:t>
        </x:is>
      </x:c>
    </x:row>
    <x:row r="10">
      <x:c r="A10" s="2" t="inlineStr">
        <x:is>
          <x:t xml:space="preserve">Tipo de cambio de venta</x:t>
        </x:is>
      </x:c>
      <x:c r="B10" s="2" t="inlineStr">
        <x:is>
          <x:t xml:space="preserve">Dato base</x:t>
        </x:is>
      </x:c>
      <x:c r="C10" s="28">
        <x:f>Datos_base!B15</x:f>
        <x:v>3.47</x:v>
      </x:c>
      <x:c r="D10" s="2" t="inlineStr">
        <x:is>
          <x:t xml:space="preserve">S/ por USD</x:t>
        </x:is>
      </x:c>
      <x:c r="E10" s="2" t="inlineStr">
        <x:is>
          <x:t xml:space="preserve">3.47</x:t>
        </x:is>
      </x:c>
    </x:row>
    <x:row r="11">
      <x:c r="A11" s="2" t="inlineStr">
        <x:is>
          <x:t xml:space="preserve">Soles obtenidos al vender</x:t>
        </x:is>
      </x:c>
      <x:c r="B11" s="2" t="inlineStr">
        <x:is>
          <x:t xml:space="preserve">USD comprados x TC venta</x:t>
        </x:is>
      </x:c>
      <x:c r="C11" s="27">
        <x:f>Datos_base!B28</x:f>
        <x:v>62980.5</x:v>
      </x:c>
      <x:c r="D11" s="2" t="inlineStr">
        <x:is>
          <x:t xml:space="preserve">Soles</x:t>
        </x:is>
      </x:c>
      <x:c r="E11" s="2" t="inlineStr">
        <x:is>
          <x:t xml:space="preserve">18,150 x 3.47 = 62,980.50</x:t>
        </x:is>
      </x:c>
    </x:row>
    <x:row r="12">
      <x:c r="A12" s="2" t="inlineStr">
        <x:is>
          <x:t xml:space="preserve">Ganancia por esa vuelta</x:t>
        </x:is>
      </x:c>
      <x:c r="B12" s="2" t="inlineStr">
        <x:is>
          <x:t xml:space="preserve">Soles al vender - soles usados</x:t>
        </x:is>
      </x:c>
      <x:c r="C12" s="27">
        <x:f>Datos_base!B29</x:f>
        <x:v>907.5</x:v>
      </x:c>
      <x:c r="D12" s="2" t="inlineStr">
        <x:is>
          <x:t xml:space="preserve">Soles</x:t>
        </x:is>
      </x:c>
      <x:c r="E12" s="2" t="inlineStr">
        <x:is>
          <x:t xml:space="preserve">62,980.50 - 62,073 = 907.50</x:t>
        </x:is>
      </x:c>
    </x:row>
    <x:row r="13">
      <x:c r="A13" s="2" t="n"/>
      <x:c r="B13" s="2" t="n"/>
      <x:c r="C13" s="2" t="n"/>
      <x:c r="D13" s="2" t="n"/>
      <x:c r="E13" s="2" t="n"/>
    </x:row>
    <x:row r="14">
      <x:c r="A14" s="31" t="inlineStr">
        <x:is>
          <x:t xml:space="preserve">Lectura corta</x:t>
        </x:is>
      </x:c>
      <x:c r="B14" s="2" t="inlineStr">
        <x:is>
          <x:t xml:space="preserve">Se metieron S/ 62,073 a dólares, se obtuvieron US$ 18,150 y al venderlos a 3.47 salieron S/ 62,980.50, dejando una ganancia de S/ 907.50.</x:t>
        </x:is>
      </x:c>
    </x:row>
  </x:sheetData>
  <x:mergeCells>
    <x:mergeCell ref="B14:E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2" customWidth="1"/>
    <x:col min="3" max="3" width="16" customWidth="1"/>
    <x:col min="4" max="4" width="14" customWidth="1"/>
    <x:col min="5" max="5" width="52" customWidth="1"/>
  </x:cols>
  <x:sheetData>
    <x:row r="1">
      <x:c r="A1" s="1" t="inlineStr">
        <x:is>
          <x:t xml:space="preserve">Devolución y segunda compra</x:t>
        </x:is>
      </x:c>
      <x:c r="B1" s="2" t="n"/>
      <x:c r="C1" s="2" t="n"/>
      <x:c r="D1" s="2" t="n"/>
      <x:c r="E1" s="2" t="n"/>
    </x:row>
    <x:row r="2">
      <x:c r="A2" s="3" t="inlineStr">
        <x:is>
          <x:t xml:space="preserve">Aquí se separa lo que ya regresó, lo que sigue pendiente y lo que se vuelve a mandar a dólares.</x:t>
        </x:is>
      </x:c>
      <x:c r="B2" s="2" t="n"/>
      <x:c r="C2" s="2" t="n"/>
      <x:c r="D2" s="2" t="n"/>
      <x:c r="E2" s="2" t="n"/>
    </x:row>
    <x:row r="3">
      <x:c r="A3" s="2" t="n"/>
      <x:c r="B3" s="2" t="n"/>
      <x:c r="C3" s="2" t="n"/>
      <x:c r="D3" s="2" t="n"/>
      <x:c r="E3" s="2" t="n"/>
    </x:row>
    <x:row r="4">
      <x:c r="A4" s="26" t="inlineStr">
        <x:is>
          <x:t xml:space="preserve">Concepto</x:t>
        </x:is>
      </x:c>
      <x:c r="B4" s="26" t="inlineStr">
        <x:is>
          <x:t xml:space="preserve">Cálculo</x:t>
        </x:is>
      </x:c>
      <x:c r="C4" s="26" t="inlineStr">
        <x:is>
          <x:t xml:space="preserve">Resultado</x:t>
        </x:is>
      </x:c>
      <x:c r="D4" s="26" t="inlineStr">
        <x:is>
          <x:t xml:space="preserve">Unidad</x:t>
        </x:is>
      </x:c>
      <x:c r="E4" s="26" t="inlineStr">
        <x:is>
          <x:t xml:space="preserve">Explicación</x:t>
        </x:is>
      </x:c>
    </x:row>
    <x:row r="5">
      <x:c r="A5" s="2" t="inlineStr">
        <x:is>
          <x:t xml:space="preserve">Soles obtenidos en la 1ra venta</x:t>
        </x:is>
      </x:c>
      <x:c r="B5" s="2" t="inlineStr">
        <x:is>
          <x:t xml:space="preserve">Dato base</x:t>
        </x:is>
      </x:c>
      <x:c r="C5" s="27">
        <x:f>Datos_base!B28</x:f>
        <x:v>62980.5</x:v>
      </x:c>
      <x:c r="D5" s="2" t="inlineStr">
        <x:is>
          <x:t xml:space="preserve">Soles</x:t>
        </x:is>
      </x:c>
      <x:c r="E5" s="2" t="inlineStr">
        <x:is>
          <x:t xml:space="preserve">Resultado de vender los US$ 18,150</x:t>
        </x:is>
      </x:c>
    </x:row>
    <x:row r="6">
      <x:c r="A6" s="2" t="inlineStr">
        <x:is>
          <x:t xml:space="preserve">Devuelto hasta ahora</x:t>
        </x:is>
      </x:c>
      <x:c r="B6" s="2" t="inlineStr">
        <x:is>
          <x:t xml:space="preserve">Dato base</x:t>
        </x:is>
      </x:c>
      <x:c r="C6" s="27">
        <x:f>Datos_base!B16</x:f>
        <x:v>18000</x:v>
      </x:c>
      <x:c r="D6" s="2" t="inlineStr">
        <x:is>
          <x:t xml:space="preserve">Soles</x:t>
        </x:is>
      </x:c>
      <x:c r="E6" s="2" t="inlineStr">
        <x:is>
          <x:t xml:space="preserve">Solo esta parte volvió efectivamente</x:t>
        </x:is>
      </x:c>
    </x:row>
    <x:row r="7">
      <x:c r="A7" s="2" t="inlineStr">
        <x:is>
          <x:t xml:space="preserve">Pendiente por devolver</x:t>
        </x:is>
      </x:c>
      <x:c r="B7" s="2" t="inlineStr">
        <x:is>
          <x:t xml:space="preserve">Soles de la 1ra venta - monto devuelto</x:t>
        </x:is>
      </x:c>
      <x:c r="C7" s="27">
        <x:f>C5-C6</x:f>
        <x:v>44980.5</x:v>
      </x:c>
      <x:c r="D7" s="2" t="inlineStr">
        <x:is>
          <x:t xml:space="preserve">Soles</x:t>
        </x:is>
      </x:c>
      <x:c r="E7" s="2" t="inlineStr">
        <x:is>
          <x:t xml:space="preserve">Lo que falta regresar de esa 1ra vuelta</x:t>
        </x:is>
      </x:c>
    </x:row>
    <x:row r="8">
      <x:c r="A8" s="2" t="inlineStr">
        <x:is>
          <x:t xml:space="preserve">Capital que quedó libre desde el inicio</x:t>
        </x:is>
      </x:c>
      <x:c r="B8" s="2" t="inlineStr">
        <x:is>
          <x:t xml:space="preserve">Dato base</x:t>
        </x:is>
      </x:c>
      <x:c r="C8" s="27">
        <x:f>Datos_base!B26</x:f>
        <x:v>10227</x:v>
      </x:c>
      <x:c r="D8" s="2" t="inlineStr">
        <x:is>
          <x:t xml:space="preserve">Soles</x:t>
        </x:is>
      </x:c>
      <x:c r="E8" s="2" t="inlineStr">
        <x:is>
          <x:t xml:space="preserve">Los S/ 10,227 que no entraron a la primera compra</x:t>
        </x:is>
      </x:c>
    </x:row>
    <x:row r="9">
      <x:c r="A9" s="2" t="inlineStr">
        <x:is>
          <x:t xml:space="preserve">Fondo disponible ahora</x:t>
        </x:is>
      </x:c>
      <x:c r="B9" s="2" t="inlineStr">
        <x:is>
          <x:t xml:space="preserve">Capital libre + monto devuelto</x:t>
        </x:is>
      </x:c>
      <x:c r="C9" s="27">
        <x:f>Datos_base!B30</x:f>
        <x:v>28227</x:v>
      </x:c>
      <x:c r="D9" s="2" t="inlineStr">
        <x:is>
          <x:t xml:space="preserve">Soles</x:t>
        </x:is>
      </x:c>
      <x:c r="E9" s="2" t="inlineStr">
        <x:is>
          <x:t xml:space="preserve">18,000 + 10,227 = 28,227</x:t>
        </x:is>
      </x:c>
    </x:row>
    <x:row r="10">
      <x:c r="A10" s="2" t="inlineStr">
        <x:is>
          <x:t xml:space="preserve">USD que compra ese fondo (exacto)</x:t>
        </x:is>
      </x:c>
      <x:c r="B10" s="2" t="inlineStr">
        <x:is>
          <x:t xml:space="preserve">Fondo disponible / 3.47</x:t>
        </x:is>
      </x:c>
      <x:c r="C10" s="28">
        <x:f>Datos_base!B31</x:f>
        <x:v>8134.582132564841</x:v>
      </x:c>
      <x:c r="D10" s="2" t="inlineStr">
        <x:is>
          <x:t xml:space="preserve">USD</x:t>
        </x:is>
      </x:c>
      <x:c r="E10" s="2" t="inlineStr">
        <x:is>
          <x:t xml:space="preserve">Compra a 3.47</x:t>
        </x:is>
      </x:c>
    </x:row>
    <x:row r="11">
      <x:c r="A11" s="2" t="inlineStr">
        <x:is>
          <x:t xml:space="preserve">USD que figuran en el apunte</x:t>
        </x:is>
      </x:c>
      <x:c r="B11" s="2" t="inlineStr">
        <x:is>
          <x:t xml:space="preserve">Dato manual</x:t>
        </x:is>
      </x:c>
      <x:c r="C11" s="28">
        <x:f>Datos_base!B17</x:f>
        <x:v>8122</x:v>
      </x:c>
      <x:c r="D11" s="2" t="inlineStr">
        <x:is>
          <x:t xml:space="preserve">USD</x:t>
        </x:is>
      </x:c>
      <x:c r="E11" s="2" t="inlineStr">
        <x:is>
          <x:t xml:space="preserve">Dato escrito en la hoja</x:t>
        </x:is>
      </x:c>
    </x:row>
    <x:row r="12">
      <x:c r="A12" s="2" t="inlineStr">
        <x:is>
          <x:t xml:space="preserve">Diferencia manual vs exacto</x:t>
        </x:is>
      </x:c>
      <x:c r="B12" s="2" t="inlineStr">
        <x:is>
          <x:t xml:space="preserve">USD manual - USD exactos</x:t>
        </x:is>
      </x:c>
      <x:c r="C12" s="28">
        <x:f>Datos_base!B32</x:f>
        <x:v>-12.582132564841231</x:v>
      </x:c>
      <x:c r="D12" s="2" t="inlineStr">
        <x:is>
          <x:t xml:space="preserve">USD</x:t>
        </x:is>
      </x:c>
      <x:c r="E12" s="2" t="inlineStr">
        <x:is>
          <x:t xml:space="preserve">Para control</x:t>
        </x:is>
      </x:c>
    </x:row>
    <x:row r="13">
      <x:c r="A13" s="2" t="n"/>
      <x:c r="B13" s="2" t="n"/>
      <x:c r="C13" s="2" t="n"/>
      <x:c r="D13" s="2" t="n"/>
      <x:c r="E13" s="2" t="n"/>
    </x:row>
    <x:row r="14">
      <x:c r="A14" s="31" t="inlineStr">
        <x:is>
          <x:t xml:space="preserve">Lectura corta</x:t>
        </x:is>
      </x:c>
      <x:c r="B14" s="2" t="inlineStr">
        <x:is>
          <x:t xml:space="preserve">De la primera venta ya volvieron S/ 18,000. Sumando los S/ 10,227 que habían quedado libres, se dispone de S/ 28,227 para una segunda compra de dólares.</x:t>
        </x:is>
      </x:c>
    </x:row>
  </x:sheetData>
  <x:mergeCells>
    <x:mergeCell ref="B14:E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2" customWidth="1"/>
    <x:col min="3" max="3" width="16" customWidth="1"/>
    <x:col min="4" max="4" width="14" customWidth="1"/>
    <x:col min="5" max="5" width="52" customWidth="1"/>
  </x:cols>
  <x:sheetData>
    <x:row r="1">
      <x:c r="A1" s="1" t="inlineStr">
        <x:is>
          <x:t xml:space="preserve">Compra de MDF y venta final</x:t>
        </x:is>
      </x:c>
      <x:c r="B1" s="2" t="n"/>
      <x:c r="C1" s="2" t="n"/>
      <x:c r="D1" s="2" t="n"/>
      <x:c r="E1" s="2" t="n"/>
    </x:row>
    <x:row r="2">
      <x:c r="A2" s="3" t="inlineStr">
        <x:is>
          <x:t xml:space="preserve">Se muestra cuánto faltó para completar el MDF y cuánto deja la venta final.</x:t>
        </x:is>
      </x:c>
      <x:c r="B2" s="2" t="n"/>
      <x:c r="C2" s="2" t="n"/>
      <x:c r="D2" s="2" t="n"/>
      <x:c r="E2" s="2" t="n"/>
    </x:row>
    <x:row r="3">
      <x:c r="A3" s="2" t="n"/>
      <x:c r="B3" s="2" t="n"/>
      <x:c r="C3" s="2" t="n"/>
      <x:c r="D3" s="2" t="n"/>
      <x:c r="E3" s="2" t="n"/>
    </x:row>
    <x:row r="4">
      <x:c r="A4" s="26" t="inlineStr">
        <x:is>
          <x:t xml:space="preserve">Concepto</x:t>
        </x:is>
      </x:c>
      <x:c r="B4" s="26" t="inlineStr">
        <x:is>
          <x:t xml:space="preserve">Cálculo</x:t>
        </x:is>
      </x:c>
      <x:c r="C4" s="26" t="inlineStr">
        <x:is>
          <x:t xml:space="preserve">Resultado</x:t>
        </x:is>
      </x:c>
      <x:c r="D4" s="26" t="inlineStr">
        <x:is>
          <x:t xml:space="preserve">Unidad</x:t>
        </x:is>
      </x:c>
      <x:c r="E4" s="26" t="inlineStr">
        <x:is>
          <x:t xml:space="preserve">Explicación</x:t>
        </x:is>
      </x:c>
    </x:row>
    <x:row r="5">
      <x:c r="A5" s="2" t="inlineStr">
        <x:is>
          <x:t xml:space="preserve">USD exactos de la 2da compra</x:t>
        </x:is>
      </x:c>
      <x:c r="B5" s="2" t="inlineStr">
        <x:is>
          <x:t xml:space="preserve">Dato base</x:t>
        </x:is>
      </x:c>
      <x:c r="C5" s="28">
        <x:f>Datos_base!B31</x:f>
        <x:v>8134.582132564841</x:v>
      </x:c>
      <x:c r="D5" s="2" t="inlineStr">
        <x:is>
          <x:t xml:space="preserve">USD</x:t>
        </x:is>
      </x:c>
      <x:c r="E5" s="2" t="inlineStr">
        <x:is>
          <x:t xml:space="preserve">Lo que realmente saldría si S/ 28,227 se cambian a 3.47</x:t>
        </x:is>
      </x:c>
    </x:row>
    <x:row r="6">
      <x:c r="A6" s="2" t="inlineStr">
        <x:is>
          <x:t xml:space="preserve">USD manuales de la 2da compra</x:t>
        </x:is>
      </x:c>
      <x:c r="B6" s="2" t="inlineStr">
        <x:is>
          <x:t xml:space="preserve">Dato manual</x:t>
        </x:is>
      </x:c>
      <x:c r="C6" s="28">
        <x:f>Datos_base!B17</x:f>
        <x:v>8122</x:v>
      </x:c>
      <x:c r="D6" s="2" t="inlineStr">
        <x:is>
          <x:t xml:space="preserve">USD</x:t>
        </x:is>
      </x:c>
      <x:c r="E6" s="2" t="inlineStr">
        <x:is>
          <x:t xml:space="preserve">Dato del apunte</x:t>
        </x:is>
      </x:c>
    </x:row>
    <x:row r="7">
      <x:c r="A7" s="2" t="inlineStr">
        <x:is>
          <x:t xml:space="preserve">USD totales del MDF</x:t>
        </x:is>
      </x:c>
      <x:c r="B7" s="2" t="inlineStr">
        <x:is>
          <x:t xml:space="preserve">Dato base</x:t>
        </x:is>
      </x:c>
      <x:c r="C7" s="28">
        <x:f>Datos_base!B18</x:f>
        <x:v>10143</x:v>
      </x:c>
      <x:c r="D7" s="2" t="inlineStr">
        <x:is>
          <x:t xml:space="preserve">USD</x:t>
        </x:is>
      </x:c>
      <x:c r="E7" s="2" t="inlineStr">
        <x:is>
          <x:t xml:space="preserve">Costo total del MDF</x:t>
        </x:is>
      </x:c>
    </x:row>
    <x:row r="8">
      <x:c r="A8" s="2" t="inlineStr">
        <x:is>
          <x:t xml:space="preserve">USD faltantes según apunte</x:t>
        </x:is>
      </x:c>
      <x:c r="B8" s="2" t="inlineStr">
        <x:is>
          <x:t xml:space="preserve">USD MDF - USD manuales</x:t>
        </x:is>
      </x:c>
      <x:c r="C8" s="28">
        <x:f>Datos_base!B33</x:f>
        <x:v>2021</x:v>
      </x:c>
      <x:c r="D8" s="2" t="inlineStr">
        <x:is>
          <x:t xml:space="preserve">USD</x:t>
        </x:is>
      </x:c>
      <x:c r="E8" s="2" t="inlineStr">
        <x:is>
          <x:t xml:space="preserve">10,143 - 8,122 = 2,021</x:t>
        </x:is>
      </x:c>
    </x:row>
    <x:row r="9">
      <x:c r="A9" s="2" t="inlineStr">
        <x:is>
          <x:t xml:space="preserve">USD faltantes exactos</x:t>
        </x:is>
      </x:c>
      <x:c r="B9" s="2" t="inlineStr">
        <x:is>
          <x:t xml:space="preserve">USD MDF - USD exactos</x:t>
        </x:is>
      </x:c>
      <x:c r="C9" s="28">
        <x:f>Datos_base!B34</x:f>
        <x:v>2008.4178674351588</x:v>
      </x:c>
      <x:c r="D9" s="2" t="inlineStr">
        <x:is>
          <x:t xml:space="preserve">USD</x:t>
        </x:is>
      </x:c>
      <x:c r="E9" s="2" t="inlineStr">
        <x:is>
          <x:t xml:space="preserve">10,143 - exacto</x:t>
        </x:is>
      </x:c>
    </x:row>
    <x:row r="10">
      <x:c r="A10" s="2" t="inlineStr">
        <x:is>
          <x:t xml:space="preserve">Soles faltantes según apunte</x:t>
        </x:is>
      </x:c>
      <x:c r="B10" s="2" t="inlineStr">
        <x:is>
          <x:t xml:space="preserve">Dato manual</x:t>
        </x:is>
      </x:c>
      <x:c r="C10" s="27">
        <x:f>Datos_base!B19</x:f>
        <x:v>7047</x:v>
      </x:c>
      <x:c r="D10" s="2" t="inlineStr">
        <x:is>
          <x:t xml:space="preserve">Soles</x:t>
        </x:is>
      </x:c>
      <x:c r="E10" s="2" t="inlineStr">
        <x:is>
          <x:t xml:space="preserve">Dato del apunte</x:t>
        </x:is>
      </x:c>
    </x:row>
    <x:row r="11">
      <x:c r="A11" s="2" t="inlineStr">
        <x:is>
          <x:t xml:space="preserve">Soles faltantes exactos</x:t>
        </x:is>
      </x:c>
      <x:c r="B11" s="2" t="inlineStr">
        <x:is>
          <x:t xml:space="preserve">USD faltantes exactos x 3.47</x:t>
        </x:is>
      </x:c>
      <x:c r="C11" s="27">
        <x:f>Datos_base!B35</x:f>
        <x:v>6969.210000000001</x:v>
      </x:c>
      <x:c r="D11" s="2" t="inlineStr">
        <x:is>
          <x:t xml:space="preserve">Soles</x:t>
        </x:is>
      </x:c>
      <x:c r="E11" s="2" t="inlineStr">
        <x:is>
          <x:t xml:space="preserve">USD faltantes exactos x 3.47</x:t>
        </x:is>
      </x:c>
    </x:row>
    <x:row r="12">
      <x:c r="A12" s="2" t="inlineStr">
        <x:is>
          <x:t xml:space="preserve">Total liberado/devuelto manual</x:t>
        </x:is>
      </x:c>
      <x:c r="B12" s="2" t="inlineStr">
        <x:is>
          <x:t xml:space="preserve">Capital libre + devuelto + faltante manual</x:t>
        </x:is>
      </x:c>
      <x:c r="C12" s="27">
        <x:f>Datos_base!B36</x:f>
        <x:v>35274</x:v>
      </x:c>
      <x:c r="D12" s="2" t="inlineStr">
        <x:is>
          <x:t xml:space="preserve">Soles</x:t>
        </x:is>
      </x:c>
      <x:c r="E12" s="2" t="inlineStr">
        <x:is>
          <x:t xml:space="preserve">10,227 + 18,000 + 7,047</x:t>
        </x:is>
      </x:c>
    </x:row>
    <x:row r="13">
      <x:c r="A13" s="2" t="inlineStr">
        <x:is>
          <x:t xml:space="preserve">Pendiente por devolver (manual)</x:t>
        </x:is>
      </x:c>
      <x:c r="B13" s="2" t="inlineStr">
        <x:is>
          <x:t xml:space="preserve">Soles de 1ra venta - total manual</x:t>
        </x:is>
      </x:c>
      <x:c r="C13" s="27">
        <x:f>Datos_base!B37</x:f>
        <x:v>27706.5</x:v>
      </x:c>
      <x:c r="D13" s="2" t="inlineStr">
        <x:is>
          <x:t xml:space="preserve">Soles</x:t>
        </x:is>
      </x:c>
      <x:c r="E13" s="2" t="inlineStr">
        <x:is>
          <x:t xml:space="preserve">62,980.50 - 35,274</x:t>
        </x:is>
      </x:c>
    </x:row>
    <x:row r="14">
      <x:c r="A14" s="2" t="inlineStr">
        <x:is>
          <x:t xml:space="preserve">Melaminas</x:t>
        </x:is>
      </x:c>
      <x:c r="B14" s="2" t="inlineStr">
        <x:is>
          <x:t xml:space="preserve">Dato base</x:t>
        </x:is>
      </x:c>
      <x:c r="C14" s="30">
        <x:f>Datos_base!B20</x:f>
        <x:v>2070</x:v>
      </x:c>
      <x:c r="D14" s="2" t="inlineStr">
        <x:is>
          <x:t xml:space="preserve">Unidades</x:t>
        </x:is>
      </x:c>
      <x:c r="E14" s="2" t="inlineStr">
        <x:is>
          <x:t xml:space="preserve">Cantidad comprada</x:t>
        </x:is>
      </x:c>
    </x:row>
    <x:row r="15">
      <x:c r="A15" s="2" t="inlineStr">
        <x:is>
          <x:t xml:space="preserve">Precio de venta por melamina</x:t>
        </x:is>
      </x:c>
      <x:c r="B15" s="2" t="inlineStr">
        <x:is>
          <x:t xml:space="preserve">Dato base</x:t>
        </x:is>
      </x:c>
      <x:c r="C15" s="28">
        <x:f>Datos_base!B21</x:f>
        <x:v>5.8</x:v>
      </x:c>
      <x:c r="D15" s="2" t="inlineStr">
        <x:is>
          <x:t xml:space="preserve">USD/unidad</x:t>
        </x:is>
      </x:c>
      <x:c r="E15" s="2" t="inlineStr">
        <x:is>
          <x:t xml:space="preserve">Precio esperado</x:t>
        </x:is>
      </x:c>
    </x:row>
    <x:row r="16">
      <x:c r="A16" s="2" t="inlineStr">
        <x:is>
          <x:t xml:space="preserve">Ventas finales</x:t>
        </x:is>
      </x:c>
      <x:c r="B16" s="2" t="inlineStr">
        <x:is>
          <x:t xml:space="preserve">Melaminas x precio por unidad</x:t>
        </x:is>
      </x:c>
      <x:c r="C16" s="28">
        <x:f>Datos_base!B38</x:f>
        <x:v>12006</x:v>
      </x:c>
      <x:c r="D16" s="2" t="inlineStr">
        <x:is>
          <x:t xml:space="preserve">USD</x:t>
        </x:is>
      </x:c>
      <x:c r="E16" s="2" t="inlineStr">
        <x:is>
          <x:t xml:space="preserve">2,070 x 5.80</x:t>
        </x:is>
      </x:c>
    </x:row>
    <x:row r="17">
      <x:c r="A17" s="2" t="inlineStr">
        <x:is>
          <x:t xml:space="preserve">Utilidad bruta</x:t>
        </x:is>
      </x:c>
      <x:c r="B17" s="2" t="inlineStr">
        <x:is>
          <x:t xml:space="preserve">Ventas finales - costo MDF</x:t>
        </x:is>
      </x:c>
      <x:c r="C17" s="28">
        <x:f>Datos_base!B39</x:f>
        <x:v>1863</x:v>
      </x:c>
      <x:c r="D17" s="2" t="inlineStr">
        <x:is>
          <x:t xml:space="preserve">USD</x:t>
        </x:is>
      </x:c>
      <x:c r="E17" s="2" t="inlineStr">
        <x:is>
          <x:t xml:space="preserve">12,006 - 10,143</x:t>
        </x:is>
      </x:c>
    </x:row>
    <x:row r="18">
      <x:c r="A18" s="2" t="n"/>
      <x:c r="B18" s="2" t="n"/>
      <x:c r="C18" s="2" t="n"/>
      <x:c r="D18" s="2" t="n"/>
      <x:c r="E18" s="2" t="n"/>
    </x:row>
    <x:row r="19">
      <x:c r="A19" s="31" t="inlineStr">
        <x:is>
          <x:t xml:space="preserve">Lectura corta</x:t>
        </x:is>
      </x:c>
      <x:c r="B19" s="2" t="inlineStr">
        <x:is>
          <x:t xml:space="preserve">Con los US$ 10,143 se compran 2,070 melaminas. Si cada una se vende a US$ 5.80, las ventas dan US$ 12,006 y la utilidad bruta sería US$ 1,863.</x:t>
        </x:is>
      </x:c>
    </x:row>
  </x:sheetData>
  <x:mergeCells>
    <x:mergeCell ref="B19:E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customWidth="1"/>
    <x:col min="2" max="2" width="18" customWidth="1"/>
    <x:col min="3" max="3" width="16" customWidth="1"/>
    <x:col min="4" max="4" width="40" customWidth="1"/>
  </x:cols>
  <x:sheetData>
    <x:row r="1">
      <x:c r="A1" s="34" t="inlineStr">
        <x:is>
          <x:t xml:space="preserve">Datos base del caso</x:t>
        </x:is>
      </x:c>
      <x:c r="B1" s="2" t="n"/>
      <x:c r="C1" s="2" t="n"/>
      <x:c r="D1" s="2" t="n"/>
    </x:row>
    <x:row r="2">
      <x:c r="A2" s="2" t="n"/>
      <x:c r="B2" s="2" t="n"/>
      <x:c r="C2" s="2" t="n"/>
      <x:c r="D2" s="2" t="n"/>
    </x:row>
    <x:row r="3">
      <x:c r="A3" s="35" t="inlineStr">
        <x:is>
          <x:t xml:space="preserve">Concepto</x:t>
        </x:is>
      </x:c>
      <x:c r="B3" s="35" t="inlineStr">
        <x:is>
          <x:t xml:space="preserve">Valor</x:t>
        </x:is>
      </x:c>
      <x:c r="C3" s="35" t="inlineStr">
        <x:is>
          <x:t xml:space="preserve">Unidad</x:t>
        </x:is>
      </x:c>
      <x:c r="D3" s="35" t="inlineStr">
        <x:is>
          <x:t xml:space="preserve">Nota</x:t>
        </x:is>
      </x:c>
    </x:row>
    <x:row r="4">
      <x:c r="A4" s="2" t="inlineStr">
        <x:is>
          <x:t xml:space="preserve">Capital total</x:t>
        </x:is>
      </x:c>
      <x:c r="B4" s="36" t="n">
        <x:v>72300</x:v>
      </x:c>
      <x:c r="C4" s="2" t="inlineStr">
        <x:is>
          <x:t xml:space="preserve">Soles</x:t>
        </x:is>
      </x:c>
      <x:c r="D4" s="2" t="inlineStr">
        <x:is>
          <x:t xml:space="preserve">Suma de Luigi + Isabel + Interbank + Ripley</x:t>
        </x:is>
      </x:c>
    </x:row>
    <x:row r="5">
      <x:c r="A5" s="2" t="inlineStr">
        <x:is>
          <x:t xml:space="preserve">Luigi</x:t>
        </x:is>
      </x:c>
      <x:c r="B5" s="36" t="n">
        <x:v>15250</x:v>
      </x:c>
      <x:c r="C5" s="2" t="inlineStr">
        <x:is>
          <x:t xml:space="preserve">Soles</x:t>
        </x:is>
      </x:c>
      <x:c r="D5" s="2" t="inlineStr">
        <x:is>
          <x:t xml:space="preserve">Parte del capital</x:t>
        </x:is>
      </x:c>
    </x:row>
    <x:row r="6">
      <x:c r="A6" s="2" t="inlineStr">
        <x:is>
          <x:t xml:space="preserve">Isabel</x:t>
        </x:is>
      </x:c>
      <x:c r="B6" s="36" t="n">
        <x:v>20450</x:v>
      </x:c>
      <x:c r="C6" s="2" t="inlineStr">
        <x:is>
          <x:t xml:space="preserve">Soles</x:t>
        </x:is>
      </x:c>
      <x:c r="D6" s="2" t="inlineStr">
        <x:is>
          <x:t xml:space="preserve">Parte del capital</x:t>
        </x:is>
      </x:c>
    </x:row>
    <x:row r="7">
      <x:c r="A7" s="2" t="inlineStr">
        <x:is>
          <x:t xml:space="preserve">Interbank</x:t>
        </x:is>
      </x:c>
      <x:c r="B7" s="36" t="n">
        <x:v>11800</x:v>
      </x:c>
      <x:c r="C7" s="2" t="inlineStr">
        <x:is>
          <x:t xml:space="preserve">Soles</x:t>
        </x:is>
      </x:c>
      <x:c r="D7" s="2" t="inlineStr">
        <x:is>
          <x:t xml:space="preserve">Préstamo; cuota 620 por 36 meses</x:t>
        </x:is>
      </x:c>
    </x:row>
    <x:row r="8">
      <x:c r="A8" s="2" t="inlineStr">
        <x:is>
          <x:t xml:space="preserve">Cuota Interbank</x:t>
        </x:is>
      </x:c>
      <x:c r="B8" s="36" t="n">
        <x:v>620</x:v>
      </x:c>
      <x:c r="C8" s="2" t="inlineStr">
        <x:is>
          <x:t xml:space="preserve">Soles/mes</x:t>
        </x:is>
      </x:c>
      <x:c r="D8" s="2" t="inlineStr">
        <x:is>
          <x:t xml:space="preserve"/>
        </x:is>
      </x:c>
    </x:row>
    <x:row r="9">
      <x:c r="A9" s="2" t="inlineStr">
        <x:is>
          <x:t xml:space="preserve">Plazo Interbank</x:t>
        </x:is>
      </x:c>
      <x:c r="B9" s="37" t="n">
        <x:v>36</x:v>
      </x:c>
      <x:c r="C9" s="2" t="inlineStr">
        <x:is>
          <x:t xml:space="preserve">Meses</x:t>
        </x:is>
      </x:c>
      <x:c r="D9" s="2" t="inlineStr">
        <x:is>
          <x:t xml:space="preserve"/>
        </x:is>
      </x:c>
    </x:row>
    <x:row r="10">
      <x:c r="A10" s="2" t="inlineStr">
        <x:is>
          <x:t xml:space="preserve">Ripley</x:t>
        </x:is>
      </x:c>
      <x:c r="B10" s="36" t="n">
        <x:v>24800</x:v>
      </x:c>
      <x:c r="C10" s="2" t="inlineStr">
        <x:is>
          <x:t xml:space="preserve">Soles</x:t>
        </x:is>
      </x:c>
      <x:c r="D10" s="2" t="inlineStr">
        <x:is>
          <x:t xml:space="preserve">Préstamo; cuota 1,000 por 36 meses</x:t>
        </x:is>
      </x:c>
    </x:row>
    <x:row r="11">
      <x:c r="A11" s="2" t="inlineStr">
        <x:is>
          <x:t xml:space="preserve">Cuota Ripley</x:t>
        </x:is>
      </x:c>
      <x:c r="B11" s="36" t="n">
        <x:v>1000</x:v>
      </x:c>
      <x:c r="C11" s="2" t="inlineStr">
        <x:is>
          <x:t xml:space="preserve">Soles/mes</x:t>
        </x:is>
      </x:c>
      <x:c r="D11" s="2" t="inlineStr">
        <x:is>
          <x:t xml:space="preserve"/>
        </x:is>
      </x:c>
    </x:row>
    <x:row r="12">
      <x:c r="A12" s="2" t="inlineStr">
        <x:is>
          <x:t xml:space="preserve">Plazo Ripley</x:t>
        </x:is>
      </x:c>
      <x:c r="B12" s="37" t="n">
        <x:v>36</x:v>
      </x:c>
      <x:c r="C12" s="2" t="inlineStr">
        <x:is>
          <x:t xml:space="preserve">Meses</x:t>
        </x:is>
      </x:c>
      <x:c r="D12" s="2" t="inlineStr">
        <x:is>
          <x:t xml:space="preserve"/>
        </x:is>
      </x:c>
    </x:row>
    <x:row r="13">
      <x:c r="A13" s="2" t="inlineStr">
        <x:is>
          <x:t xml:space="preserve">Soles usados en compra USD 1</x:t>
        </x:is>
      </x:c>
      <x:c r="B13" s="36" t="n">
        <x:v>62073</x:v>
      </x:c>
      <x:c r="C13" s="2" t="inlineStr">
        <x:is>
          <x:t xml:space="preserve">Soles</x:t>
        </x:is>
      </x:c>
      <x:c r="D13" s="2" t="inlineStr">
        <x:is>
          <x:t xml:space="preserve">Monto que entra a la primera compra de dólares</x:t>
        </x:is>
      </x:c>
    </x:row>
    <x:row r="14">
      <x:c r="A14" s="2" t="inlineStr">
        <x:is>
          <x:t xml:space="preserve">TC compra USD 1</x:t>
        </x:is>
      </x:c>
      <x:c r="B14" s="38" t="n">
        <x:v>3.42</x:v>
      </x:c>
      <x:c r="C14" s="2" t="inlineStr">
        <x:is>
          <x:t xml:space="preserve">S/ por USD</x:t>
        </x:is>
      </x:c>
      <x:c r="D14" s="2" t="inlineStr">
        <x:is>
          <x:t xml:space="preserve">Tipo de cambio de compra</x:t>
        </x:is>
      </x:c>
    </x:row>
    <x:row r="15">
      <x:c r="A15" s="2" t="inlineStr">
        <x:is>
          <x:t xml:space="preserve">TC venta / recompra USD</x:t>
        </x:is>
      </x:c>
      <x:c r="B15" s="38" t="n">
        <x:v>3.47</x:v>
      </x:c>
      <x:c r="C15" s="2" t="inlineStr">
        <x:is>
          <x:t xml:space="preserve">S/ por USD</x:t>
        </x:is>
      </x:c>
      <x:c r="D15" s="2" t="inlineStr">
        <x:is>
          <x:t xml:space="preserve">Tipo de cambio de venta y de la segunda compra</x:t>
        </x:is>
      </x:c>
    </x:row>
    <x:row r="16">
      <x:c r="A16" s="2" t="inlineStr">
        <x:is>
          <x:t xml:space="preserve">Devuelto hasta ahora</x:t>
        </x:is>
      </x:c>
      <x:c r="B16" s="36" t="n">
        <x:v>18000</x:v>
      </x:c>
      <x:c r="C16" s="2" t="inlineStr">
        <x:is>
          <x:t xml:space="preserve">Soles</x:t>
        </x:is>
      </x:c>
      <x:c r="D16" s="2" t="inlineStr">
        <x:is>
          <x:t xml:space="preserve">Parte que ya regresó de la primera vuelta</x:t>
        </x:is>
      </x:c>
    </x:row>
    <x:row r="17">
      <x:c r="A17" s="2" t="inlineStr">
        <x:is>
          <x:t xml:space="preserve">USD segunda compra (manual)</x:t>
        </x:is>
      </x:c>
      <x:c r="B17" s="38" t="n">
        <x:v>8122</x:v>
      </x:c>
      <x:c r="C17" s="2" t="inlineStr">
        <x:is>
          <x:t xml:space="preserve">USD</x:t>
        </x:is>
      </x:c>
      <x:c r="D17" s="2" t="inlineStr">
        <x:is>
          <x:t xml:space="preserve">Dato del apunte manual</x:t>
        </x:is>
      </x:c>
    </x:row>
    <x:row r="18">
      <x:c r="A18" s="2" t="inlineStr">
        <x:is>
          <x:t xml:space="preserve">USD total requerido para MDF</x:t>
        </x:is>
      </x:c>
      <x:c r="B18" s="38" t="n">
        <x:v>10143</x:v>
      </x:c>
      <x:c r="C18" s="2" t="inlineStr">
        <x:is>
          <x:t xml:space="preserve">USD</x:t>
        </x:is>
      </x:c>
      <x:c r="D18" s="2" t="inlineStr">
        <x:is>
          <x:t xml:space="preserve">Total en dólares que termina costando el MDF</x:t>
        </x:is>
      </x:c>
    </x:row>
    <x:row r="19">
      <x:c r="A19" s="2" t="inlineStr">
        <x:is>
          <x:t xml:space="preserve">Soles faltantes para MDF (manual)</x:t>
        </x:is>
      </x:c>
      <x:c r="B19" s="36" t="n">
        <x:v>7047</x:v>
      </x:c>
      <x:c r="C19" s="2" t="inlineStr">
        <x:is>
          <x:t xml:space="preserve">Soles</x:t>
        </x:is>
      </x:c>
      <x:c r="D19" s="2" t="inlineStr">
        <x:is>
          <x:t xml:space="preserve">Dato del apunte manual</x:t>
        </x:is>
      </x:c>
    </x:row>
    <x:row r="20">
      <x:c r="A20" s="2" t="inlineStr">
        <x:is>
          <x:t xml:space="preserve">Melaminas</x:t>
        </x:is>
      </x:c>
      <x:c r="B20" s="37" t="n">
        <x:v>2070</x:v>
      </x:c>
      <x:c r="C20" s="2" t="inlineStr">
        <x:is>
          <x:t xml:space="preserve">Unidades</x:t>
        </x:is>
      </x:c>
      <x:c r="D20" s="2" t="inlineStr">
        <x:is>
          <x:t xml:space="preserve">Cantidad de melaminas</x:t>
        </x:is>
      </x:c>
    </x:row>
    <x:row r="21">
      <x:c r="A21" s="2" t="inlineStr">
        <x:is>
          <x:t xml:space="preserve">Precio de venta por melamina</x:t>
        </x:is>
      </x:c>
      <x:c r="B21" s="38" t="n">
        <x:v>5.8</x:v>
      </x:c>
      <x:c r="C21" s="2" t="inlineStr">
        <x:is>
          <x:t xml:space="preserve">USD/unidad</x:t>
        </x:is>
      </x:c>
      <x:c r="D21" s="2" t="inlineStr">
        <x:is>
          <x:t xml:space="preserve">Precio de venta estimado</x:t>
        </x:is>
      </x:c>
    </x:row>
    <x:row r="22">
      <x:c r="A22" s="2" t="n"/>
      <x:c r="B22" s="2" t="n"/>
      <x:c r="C22" s="2" t="n"/>
      <x:c r="D22" s="2" t="n"/>
    </x:row>
    <x:row r="23">
      <x:c r="A23" s="2" t="n"/>
      <x:c r="B23" s="2" t="n"/>
      <x:c r="C23" s="2" t="n"/>
      <x:c r="D23" s="2" t="n"/>
    </x:row>
    <x:row r="24">
      <x:c r="A24" s="31" t="inlineStr">
        <x:is>
          <x:t xml:space="preserve">Cálculos auxiliares</x:t>
        </x:is>
      </x:c>
      <x:c r="B24" s="2" t="n"/>
      <x:c r="C24" s="2" t="n"/>
      <x:c r="D24" s="2" t="n"/>
    </x:row>
    <x:row r="25">
      <x:c r="A25" s="35" t="inlineStr">
        <x:is>
          <x:t xml:space="preserve">Concepto</x:t>
        </x:is>
      </x:c>
      <x:c r="B25" s="35" t="inlineStr">
        <x:is>
          <x:t xml:space="preserve">Fórmula / valor</x:t>
        </x:is>
      </x:c>
      <x:c r="C25" s="35" t="inlineStr">
        <x:is>
          <x:t xml:space="preserve">Unidad</x:t>
        </x:is>
      </x:c>
      <x:c r="D25" s="35" t="inlineStr">
        <x:is>
          <x:t xml:space="preserve">Uso</x:t>
        </x:is>
      </x:c>
    </x:row>
    <x:row r="26">
      <x:c r="A26" s="2" t="inlineStr">
        <x:is>
          <x:t xml:space="preserve">Capital libre después de la compra USD 1</x:t>
        </x:is>
      </x:c>
      <x:c r="B26" s="39">
        <x:f>B4-B13</x:f>
        <x:v>10227</x:v>
      </x:c>
      <x:c r="C26" s="2" t="inlineStr">
        <x:is>
          <x:t xml:space="preserve">Soles</x:t>
        </x:is>
      </x:c>
      <x:c r="D26" s="2" t="inlineStr">
        <x:is>
          <x:t xml:space="preserve">72,300 - 62,073</x:t>
        </x:is>
      </x:c>
    </x:row>
    <x:row r="27">
      <x:c r="A27" s="2" t="inlineStr">
        <x:is>
          <x:t xml:space="preserve">USD comprados en la 1ra vuelta</x:t>
        </x:is>
      </x:c>
      <x:c r="B27" s="40">
        <x:f>B13/B14</x:f>
        <x:v>18150</x:v>
      </x:c>
      <x:c r="C27" s="2" t="inlineStr">
        <x:is>
          <x:t xml:space="preserve">USD</x:t>
        </x:is>
      </x:c>
      <x:c r="D27" s="2" t="inlineStr">
        <x:is>
          <x:t xml:space="preserve">62,073 / 3.42</x:t>
        </x:is>
      </x:c>
    </x:row>
    <x:row r="28">
      <x:c r="A28" s="2" t="inlineStr">
        <x:is>
          <x:t xml:space="preserve">Soles obtenidos al vender USD 1</x:t>
        </x:is>
      </x:c>
      <x:c r="B28" s="39">
        <x:f>B27*B15</x:f>
        <x:v>62980.5</x:v>
      </x:c>
      <x:c r="C28" s="2" t="inlineStr">
        <x:is>
          <x:t xml:space="preserve">Soles</x:t>
        </x:is>
      </x:c>
      <x:c r="D28" s="2" t="inlineStr">
        <x:is>
          <x:t xml:space="preserve">18,150 x 3.47</x:t>
        </x:is>
      </x:c>
    </x:row>
    <x:row r="29">
      <x:c r="A29" s="2" t="inlineStr">
        <x:is>
          <x:t xml:space="preserve">Ganancia por tipo de cambio</x:t>
        </x:is>
      </x:c>
      <x:c r="B29" s="39">
        <x:f>B28-B13</x:f>
        <x:v>907.5</x:v>
      </x:c>
      <x:c r="C29" s="2" t="inlineStr">
        <x:is>
          <x:t xml:space="preserve">Soles</x:t>
        </x:is>
      </x:c>
      <x:c r="D29" s="2" t="inlineStr">
        <x:is>
          <x:t xml:space="preserve">62,980.50 - 62,073</x:t>
        </x:is>
      </x:c>
    </x:row>
    <x:row r="30">
      <x:c r="A30" s="2" t="inlineStr">
        <x:is>
          <x:t xml:space="preserve">Fondos disponibles ahora</x:t>
        </x:is>
      </x:c>
      <x:c r="B30" s="39">
        <x:f>B26+B16</x:f>
        <x:v>28227</x:v>
      </x:c>
      <x:c r="C30" s="2" t="inlineStr">
        <x:is>
          <x:t xml:space="preserve">Soles</x:t>
        </x:is>
      </x:c>
      <x:c r="D30" s="2" t="inlineStr">
        <x:is>
          <x:t xml:space="preserve">10,227 + 18,000</x:t>
        </x:is>
      </x:c>
    </x:row>
    <x:row r="31">
      <x:c r="A31" s="2" t="inlineStr">
        <x:is>
          <x:t xml:space="preserve">USD 2da compra exactos</x:t>
        </x:is>
      </x:c>
      <x:c r="B31" s="40">
        <x:f>B30/B15</x:f>
        <x:v>8134.582132564841</x:v>
      </x:c>
      <x:c r="C31" s="2" t="inlineStr">
        <x:is>
          <x:t xml:space="preserve">USD</x:t>
        </x:is>
      </x:c>
      <x:c r="D31" s="2" t="inlineStr">
        <x:is>
          <x:t xml:space="preserve">28,227 / 3.47</x:t>
        </x:is>
      </x:c>
    </x:row>
    <x:row r="32">
      <x:c r="A32" s="2" t="inlineStr">
        <x:is>
          <x:t xml:space="preserve">Diferencia vs dato manual</x:t>
        </x:is>
      </x:c>
      <x:c r="B32" s="40">
        <x:f>B17-B31</x:f>
        <x:v>-12.582132564841231</x:v>
      </x:c>
      <x:c r="C32" s="2" t="inlineStr">
        <x:is>
          <x:t xml:space="preserve">USD</x:t>
        </x:is>
      </x:c>
      <x:c r="D32" s="2" t="inlineStr">
        <x:is>
          <x:t xml:space="preserve">8,122 - exacto</x:t>
        </x:is>
      </x:c>
    </x:row>
    <x:row r="33">
      <x:c r="A33" s="2" t="inlineStr">
        <x:is>
          <x:t xml:space="preserve">USD faltantes para MDF (manual)</x:t>
        </x:is>
      </x:c>
      <x:c r="B33" s="40">
        <x:f>B18-B17</x:f>
        <x:v>2021</x:v>
      </x:c>
      <x:c r="C33" s="2" t="inlineStr">
        <x:is>
          <x:t xml:space="preserve">USD</x:t>
        </x:is>
      </x:c>
      <x:c r="D33" s="2" t="inlineStr">
        <x:is>
          <x:t xml:space="preserve">10,143 - 8,122</x:t>
        </x:is>
      </x:c>
    </x:row>
    <x:row r="34">
      <x:c r="A34" s="2" t="inlineStr">
        <x:is>
          <x:t xml:space="preserve">USD faltantes para MDF (exacto)</x:t>
        </x:is>
      </x:c>
      <x:c r="B34" s="40">
        <x:f>B18-B31</x:f>
        <x:v>2008.4178674351588</x:v>
      </x:c>
      <x:c r="C34" s="2" t="inlineStr">
        <x:is>
          <x:t xml:space="preserve">USD</x:t>
        </x:is>
      </x:c>
      <x:c r="D34" s="2" t="inlineStr">
        <x:is>
          <x:t xml:space="preserve">10,143 - exacto</x:t>
        </x:is>
      </x:c>
    </x:row>
    <x:row r="35">
      <x:c r="A35" s="2" t="inlineStr">
        <x:is>
          <x:t xml:space="preserve">Soles faltantes para MDF (exacto)</x:t>
        </x:is>
      </x:c>
      <x:c r="B35" s="39">
        <x:f>B34*B15</x:f>
        <x:v>6969.210000000001</x:v>
      </x:c>
      <x:c r="C35" s="2" t="inlineStr">
        <x:is>
          <x:t xml:space="preserve">Soles</x:t>
        </x:is>
      </x:c>
      <x:c r="D35" s="2" t="inlineStr">
        <x:is>
          <x:t xml:space="preserve">USD faltantes exactos x 3.47</x:t>
        </x:is>
      </x:c>
    </x:row>
    <x:row r="36">
      <x:c r="A36" s="2" t="inlineStr">
        <x:is>
          <x:t xml:space="preserve">Total liberado/devuelto manual considerado</x:t>
        </x:is>
      </x:c>
      <x:c r="B36" s="39">
        <x:f>B26+B16+B19</x:f>
        <x:v>35274</x:v>
      </x:c>
      <x:c r="C36" s="2" t="inlineStr">
        <x:is>
          <x:t xml:space="preserve">Soles</x:t>
        </x:is>
      </x:c>
      <x:c r="D36" s="2" t="inlineStr">
        <x:is>
          <x:t xml:space="preserve">10,227 + 18,000 + 7,047</x:t>
        </x:is>
      </x:c>
    </x:row>
    <x:row r="37">
      <x:c r="A37" s="2" t="inlineStr">
        <x:is>
          <x:t xml:space="preserve">Pendiente por devolver (manual)</x:t>
        </x:is>
      </x:c>
      <x:c r="B37" s="39">
        <x:f>B28-B36</x:f>
        <x:v>27706.5</x:v>
      </x:c>
      <x:c r="C37" s="2" t="inlineStr">
        <x:is>
          <x:t xml:space="preserve">Soles</x:t>
        </x:is>
      </x:c>
      <x:c r="D37" s="2" t="inlineStr">
        <x:is>
          <x:t xml:space="preserve">62,980.50 - 35,274</x:t>
        </x:is>
      </x:c>
    </x:row>
    <x:row r="38">
      <x:c r="A38" s="2" t="inlineStr">
        <x:is>
          <x:t xml:space="preserve">Ventas finales</x:t>
        </x:is>
      </x:c>
      <x:c r="B38" s="40">
        <x:f>B20*B21</x:f>
        <x:v>12006</x:v>
      </x:c>
      <x:c r="C38" s="2" t="inlineStr">
        <x:is>
          <x:t xml:space="preserve">USD</x:t>
        </x:is>
      </x:c>
      <x:c r="D38" s="2" t="inlineStr">
        <x:is>
          <x:t xml:space="preserve">2,070 x 5.80</x:t>
        </x:is>
      </x:c>
    </x:row>
    <x:row r="39">
      <x:c r="A39" s="2" t="inlineStr">
        <x:is>
          <x:t xml:space="preserve">Utilidad bruta final</x:t>
        </x:is>
      </x:c>
      <x:c r="B39" s="40">
        <x:f>B38-B18</x:f>
        <x:v>1863</x:v>
      </x:c>
      <x:c r="C39" s="2" t="inlineStr">
        <x:is>
          <x:t xml:space="preserve">USD</x:t>
        </x:is>
      </x:c>
      <x:c r="D39" s="2" t="inlineStr">
        <x:is>
          <x:t xml:space="preserve">12,006 - 10,143</x:t>
        </x:is>
      </x:c>
    </x:row>
  </x:sheetData>
  <x:pageMargins left="0.7" right="0.7" top="0.75" bottom="0.75" header="0.3" footer="0.3"/>
  <x:legacyDrawing xmlns:r="http://schemas.openxmlformats.org/officeDocument/2006/relationships" r:id="Rb13ee00cd79c4efd"/>
</x:worksheet>
</file>